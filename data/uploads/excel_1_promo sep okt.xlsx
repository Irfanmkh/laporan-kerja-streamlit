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TEMBER - OKTOBER" sheetId="1" r:id="rId5"/>
    <sheet state="visible" name="SHOPEE 26th Anniversary Carolin" sheetId="2" r:id="rId6"/>
    <sheet state="visible" name="WEB 26th Anniversary Carolina W" sheetId="3" r:id="rId7"/>
    <sheet state="visible" name="LAZADA 26th Anniversary Carolin" sheetId="4" r:id="rId8"/>
  </sheets>
  <definedNames/>
  <calcPr/>
</workbook>
</file>

<file path=xl/sharedStrings.xml><?xml version="1.0" encoding="utf-8"?>
<sst xmlns="http://schemas.openxmlformats.org/spreadsheetml/2006/main" count="2048" uniqueCount="572">
  <si>
    <t>SEPTEMBER OKTOBER</t>
  </si>
  <si>
    <t>10.10 | Produk Nominasi | 25 Sep - 11 Oct</t>
  </si>
  <si>
    <t>Nama Produk</t>
  </si>
  <si>
    <t>Kode Produk</t>
  </si>
  <si>
    <t>Nama Variasi</t>
  </si>
  <si>
    <t>Kode Variasi</t>
  </si>
  <si>
    <t>Harga Awal</t>
  </si>
  <si>
    <t>Harga Saat Ini</t>
  </si>
  <si>
    <t>Harga Diskon</t>
  </si>
  <si>
    <t>Stok Saat Ini</t>
  </si>
  <si>
    <t>Stok Promo</t>
  </si>
  <si>
    <t>Batas Pembelian</t>
  </si>
  <si>
    <t>Status</t>
  </si>
  <si>
    <t>Ditampilkan</t>
  </si>
  <si>
    <t>Wajib</t>
  </si>
  <si>
    <t>Wajib. Dapat diubah</t>
  </si>
  <si>
    <t>Nama Produk yang memenuhi kriteria pada sesi ini</t>
  </si>
  <si>
    <t>10-31 OCTOBER 2026</t>
  </si>
  <si>
    <t>Mohon masukkan Kode Produk yang memenuhi kriteria pada sesi ini</t>
  </si>
  <si>
    <t>Nama Variasi yang memenuhi kriteria untuk sesi ini</t>
  </si>
  <si>
    <t>Mohon masukkan Kode Variasi yang memenuhi kriteria untuk sesi ini</t>
  </si>
  <si>
    <t>Harga awal dari variasi ini sebelum diskon</t>
  </si>
  <si>
    <t>Harga promosi yang ditunjukkan ke Pembeli saat ini setelah penambahan pajak.</t>
  </si>
  <si>
    <t>Mohon masukkan harga diskon yang kamu tentukan. Semakin murah harga diskon, semakin tinggi kesempatan produk disetujui dan meningkatkan penjualan.</t>
  </si>
  <si>
    <t>Stok tersedia yang dapat diajukan untuk sesi ini. Stok Saat Ini = (Stok Penjual + Stok Shopee) - Stok untuk Promosi</t>
  </si>
  <si>
    <t>Mohon masukkan stok promo yang ingin diajukan untuk sesi ini. Untuk memastikan jumlah stok cukup, maka jumlah akan dikurangi dari total stok produk yang tersedia sampai sesi ini berakhir. "0" artinya "tidak ada batasan".</t>
  </si>
  <si>
    <t>Mohon masukkan jumlah maks. variasi per produk yang dapat dibeli dengan harga diskon untuk setiap Pembeli. "0" artinya "tidak ada batasan".</t>
  </si>
  <si>
    <t>Status produk yang diajukan</t>
  </si>
  <si>
    <t>disc</t>
  </si>
  <si>
    <t>"Voucher 26k off for min spend Rp 3.000.000 (CAROBDAY26) , kuota: 100
Voucher 126k off for min spend Rp 8.000.000 (CAROBDAY126) , kuota: 100
Voucher 260k off for min spend Rp 10.000.000 (CAROBDAY126) , kuota: 50"</t>
  </si>
  <si>
    <t>Jam Tangan Pria Seiko Chronograph SSB377P1 Dark Blue Dial Stainless Steel Strap</t>
  </si>
  <si>
    <t>Anniversary Promo</t>
  </si>
  <si>
    <t>26th Anniversary Super Voucher</t>
  </si>
  <si>
    <t>FLASH SALE every day from 12:00-18:00 !</t>
  </si>
  <si>
    <t>Free Gift</t>
  </si>
  <si>
    <t>Jenis</t>
  </si>
  <si>
    <t>Disetujui</t>
  </si>
  <si>
    <t>Merk</t>
  </si>
  <si>
    <t>Kode</t>
  </si>
  <si>
    <t>Harga Jual</t>
  </si>
  <si>
    <t>Total Stok</t>
  </si>
  <si>
    <t>disc sale web</t>
  </si>
  <si>
    <t>disc sale e-comm</t>
  </si>
  <si>
    <t>TANGGAL</t>
  </si>
  <si>
    <t>Produk</t>
  </si>
  <si>
    <t>Sku</t>
  </si>
  <si>
    <t>Harga</t>
  </si>
  <si>
    <t>Jam Tangan Pria Alexandre Christie AC 1007 MDBSSSL Silver Dial Stainless Steel Strap</t>
  </si>
  <si>
    <t>Stok Flash Sale</t>
  </si>
  <si>
    <t>Disc Normal</t>
  </si>
  <si>
    <t>Disc Flash Sale Kilat</t>
  </si>
  <si>
    <t>Harga Jual Sekarang</t>
  </si>
  <si>
    <t>Jam Tangan Pria Alexandre Christie Passion AC 1007 MDBSSBU Blue Dial Silver Stainless Steel Strap</t>
  </si>
  <si>
    <t>Harga Disc. Flash Sale</t>
  </si>
  <si>
    <t>Jam Tangan Wanita Alexandre Christie Primo Steel AC 1007 LDBSSSL White Dial Stainless Steel Strap</t>
  </si>
  <si>
    <t>JTA</t>
  </si>
  <si>
    <t>AIGNER</t>
  </si>
  <si>
    <t>Jam Tangan Wanita Alexandre Christie Passion AC 1007 LDBSSBA Black Dial Stainless Steel Strap</t>
  </si>
  <si>
    <t>A130216</t>
  </si>
  <si>
    <t>Jam Tangan Wanita Alexandre Christie Passion AC 2455 LDFRGSL1 Silver White Dial Rose Gold Stainless Steel Strap</t>
  </si>
  <si>
    <t>Jam Tangan Wanita Alexandre Christie Passsion AC 2455 LDFRGRG1 Rose Dial Rose Gold Stainless Steel Strap</t>
  </si>
  <si>
    <t>Jam Tangan Wanita Christophe Arden CA 1008 LDFRGBG Rose Gold Dial Rose Gold Stainless Steel Strap</t>
  </si>
  <si>
    <t>10.10 | Koleksi Brand Pilihan | 25 Sep - 11 Oct</t>
  </si>
  <si>
    <t>CASIO</t>
  </si>
  <si>
    <t>A158WA-1D</t>
  </si>
  <si>
    <t>Jam Tangan Wanita Alexandre Christie Passion AC 2455 LDFROBO1 Brown Dial Brown Stainless Steel Strap</t>
  </si>
  <si>
    <t>Jam Tangan Wanita Alexandre Christie Passion AC 2455 LDFRGPN1 Analog Dial Rose Gold Stainless Steel Strap</t>
  </si>
  <si>
    <t>10.10 | Brand Diskon 50% | 25 Sep - 11 Oct</t>
  </si>
  <si>
    <t>A141110</t>
  </si>
  <si>
    <t>F-91W-1D</t>
  </si>
  <si>
    <t>Jam Tangan Wanita Alexandre Christie Primo Steel AC 1007 LDLRGBO</t>
  </si>
  <si>
    <t>A141213</t>
  </si>
  <si>
    <t>LA670WA-7D</t>
  </si>
  <si>
    <t>Jam Tangan Wanita Alexandre Christie Primo AC 1007 LDLRGSL Silver Dial Dark Brown Leather Strap</t>
  </si>
  <si>
    <t>A154206</t>
  </si>
  <si>
    <t>Jam Tangan Wanita Christophe Arden CA 1008 LDFBRBA Black Dial Black Stainless Steel Strap</t>
  </si>
  <si>
    <t>LTP-V007L-9B</t>
  </si>
  <si>
    <t>A44122</t>
  </si>
  <si>
    <t>A168WA-1W</t>
  </si>
  <si>
    <t>A44124</t>
  </si>
  <si>
    <t>MQ-24-1E</t>
  </si>
  <si>
    <t>AGA111115</t>
  </si>
  <si>
    <t>MTP-V004L-1A</t>
  </si>
  <si>
    <t>AGA111122</t>
  </si>
  <si>
    <t>A159WA-N1</t>
  </si>
  <si>
    <t>AGA127101</t>
  </si>
  <si>
    <t>F-91W-3D</t>
  </si>
  <si>
    <t>AGA127102</t>
  </si>
  <si>
    <t>G SHOCK</t>
  </si>
  <si>
    <t>DW-9052-1V</t>
  </si>
  <si>
    <t>AGA127107</t>
  </si>
  <si>
    <t>LTP-V007D-7B</t>
  </si>
  <si>
    <t>AGA130207</t>
  </si>
  <si>
    <t>LTP-V007L-7B1</t>
  </si>
  <si>
    <t>AGA13211</t>
  </si>
  <si>
    <t>AQ-230A-1D</t>
  </si>
  <si>
    <t>AGA26367</t>
  </si>
  <si>
    <t>LQ-139AMV-1E</t>
  </si>
  <si>
    <t>ALBA</t>
  </si>
  <si>
    <t>AG8H12X1</t>
  </si>
  <si>
    <t>LTP-1094Q-9A</t>
  </si>
  <si>
    <t>AG8H44X1</t>
  </si>
  <si>
    <t>LQ-139AMV-1B3</t>
  </si>
  <si>
    <t>AH7CC4X1</t>
  </si>
  <si>
    <t>LTP-V007L-7B2</t>
  </si>
  <si>
    <t>AH7CC8X1</t>
  </si>
  <si>
    <t>LTP-V007L-7E1</t>
  </si>
  <si>
    <t>AH7CD0X1</t>
  </si>
  <si>
    <t>MQ-24-7B</t>
  </si>
  <si>
    <t>AH7CD5X1</t>
  </si>
  <si>
    <t>GA-2100-1A1</t>
  </si>
  <si>
    <t>AH7CE8X1</t>
  </si>
  <si>
    <t>LQ-139BMV-7E</t>
  </si>
  <si>
    <t>AH7CG0X1</t>
  </si>
  <si>
    <t>LTP-V007D-4E</t>
  </si>
  <si>
    <t>AH7H43X1</t>
  </si>
  <si>
    <t>LTP-V007G-9B</t>
  </si>
  <si>
    <t>AH7H45X1</t>
  </si>
  <si>
    <t>LTP-V001D-7B</t>
  </si>
  <si>
    <t>AH8319X1</t>
  </si>
  <si>
    <t>MTP-V001L-1B</t>
  </si>
  <si>
    <t>AH8321X1</t>
  </si>
  <si>
    <t>TBC</t>
  </si>
  <si>
    <t>AH8323X1</t>
  </si>
  <si>
    <t>AH8529X1</t>
  </si>
  <si>
    <t>AH8630X1</t>
  </si>
  <si>
    <t>AL4339X1</t>
  </si>
  <si>
    <t>AL4437X1</t>
  </si>
  <si>
    <t>AL4441X1</t>
  </si>
  <si>
    <t>AL4457X1</t>
  </si>
  <si>
    <t>AL4539X1</t>
  </si>
  <si>
    <t>AP6456X1</t>
  </si>
  <si>
    <t>AP6457X1</t>
  </si>
  <si>
    <t>AP6518X1</t>
  </si>
  <si>
    <t>AS9C12X1</t>
  </si>
  <si>
    <t>AS9C14X1</t>
  </si>
  <si>
    <t>AS9C81X1</t>
  </si>
  <si>
    <t>AS9D95X1</t>
  </si>
  <si>
    <t>AS9G56X1</t>
  </si>
  <si>
    <t>AS9H94X1</t>
  </si>
  <si>
    <t>AS9P99X1</t>
  </si>
  <si>
    <t>AS9Q01X1</t>
  </si>
  <si>
    <t>AS9Q09X1</t>
  </si>
  <si>
    <t>AS9R28X1</t>
  </si>
  <si>
    <t>AS9S08X1</t>
  </si>
  <si>
    <t>AS9S10X1</t>
  </si>
  <si>
    <t>AS9S22X1</t>
  </si>
  <si>
    <t>AS9S24X1</t>
  </si>
  <si>
    <t>AS9S26X1</t>
  </si>
  <si>
    <t>AT3912X1</t>
  </si>
  <si>
    <t>AT3J13X1</t>
  </si>
  <si>
    <t>AT3J15X1</t>
  </si>
  <si>
    <t>AV3286X1</t>
  </si>
  <si>
    <t>BABY G</t>
  </si>
  <si>
    <t>BA-110-4A2</t>
  </si>
  <si>
    <t>normal</t>
  </si>
  <si>
    <t>BA-110CH-1A</t>
  </si>
  <si>
    <t>BA-110NC-6A</t>
  </si>
  <si>
    <t>BA-110NR-8A</t>
  </si>
  <si>
    <t>BA-110SC-2A</t>
  </si>
  <si>
    <t>BA-110X-7A3</t>
  </si>
  <si>
    <t>BA-110XBC-1A</t>
  </si>
  <si>
    <t>BA-110XSW-7A</t>
  </si>
  <si>
    <t>BA-110XWS-7A</t>
  </si>
  <si>
    <t>BA-120T-1A</t>
  </si>
  <si>
    <t>BA-120TG-4A</t>
  </si>
  <si>
    <t>BA-130-1A</t>
  </si>
  <si>
    <t>BA-130SW-5A</t>
  </si>
  <si>
    <t>BA-130WP-4A</t>
  </si>
  <si>
    <t>BA-130WP-6A</t>
  </si>
  <si>
    <t>BGA-100ST-4A</t>
  </si>
  <si>
    <t>BGA-190BC-1B</t>
  </si>
  <si>
    <t>BGA-225G-1A</t>
  </si>
  <si>
    <t>BGA-230PC-9B</t>
  </si>
  <si>
    <t>BGA-230S-3A</t>
  </si>
  <si>
    <t>BGA-250-2A</t>
  </si>
  <si>
    <t>BGA-255-4A</t>
  </si>
  <si>
    <t>BGA-310-7A2</t>
  </si>
  <si>
    <t>BGA-310C-1A</t>
  </si>
  <si>
    <t>BGA-320-3A</t>
  </si>
  <si>
    <t>BGA-320-4A</t>
  </si>
  <si>
    <t>BGA-320-7A2</t>
  </si>
  <si>
    <t>BGS-100GS-1A</t>
  </si>
  <si>
    <t>BLX-570-1D</t>
  </si>
  <si>
    <t>BONIA</t>
  </si>
  <si>
    <t>B10108-1542LE</t>
  </si>
  <si>
    <t>CALVIN KLEIN</t>
  </si>
  <si>
    <t>K4G23626</t>
  </si>
  <si>
    <t>A100WEF-3A</t>
  </si>
  <si>
    <t>A100WEF-8A</t>
  </si>
  <si>
    <t>A100WEG-9A</t>
  </si>
  <si>
    <t>A120WEG-9A</t>
  </si>
  <si>
    <t>A171WEG-9A</t>
  </si>
  <si>
    <t>LA680WEL-3D</t>
  </si>
  <si>
    <t>LF-10WH-2D</t>
  </si>
  <si>
    <t>LF-10WH-3D</t>
  </si>
  <si>
    <t>LF-10WH-4D</t>
  </si>
  <si>
    <t>LF-10WH-8D</t>
  </si>
  <si>
    <t>LF-20W-1A</t>
  </si>
  <si>
    <t>LF-20W-3A</t>
  </si>
  <si>
    <t>LF-20W-5A</t>
  </si>
  <si>
    <t>LF-20W-8A</t>
  </si>
  <si>
    <t>LF-20W-8A2</t>
  </si>
  <si>
    <t>LRW-200H-2B</t>
  </si>
  <si>
    <t>LTP-2088L-2A</t>
  </si>
  <si>
    <t>LTP-VT02D-2A</t>
  </si>
  <si>
    <t>LW-200-2B</t>
  </si>
  <si>
    <t>MRW-200H-2B</t>
  </si>
  <si>
    <t>MRW-200H-3B</t>
  </si>
  <si>
    <t>MRW-200H-4B</t>
  </si>
  <si>
    <t>MRW-200H-9B</t>
  </si>
  <si>
    <t>MRW-200HC-2B</t>
  </si>
  <si>
    <t>MRW-200HC-4B</t>
  </si>
  <si>
    <t>MTP-1128G-9A</t>
  </si>
  <si>
    <t>MTP-1128N-9A</t>
  </si>
  <si>
    <t>MTP-1129N-7A</t>
  </si>
  <si>
    <t>MTP-1170N-7A</t>
  </si>
  <si>
    <t>MTP-B155D-5E</t>
  </si>
  <si>
    <t>MTP-B205M-1E</t>
  </si>
  <si>
    <t>MTP-B205M-7E</t>
  </si>
  <si>
    <t>MTP-B300M-1A</t>
  </si>
  <si>
    <t>MTP-E145D-1B</t>
  </si>
  <si>
    <t>MTP-E720D-1A</t>
  </si>
  <si>
    <t>MTP-E720D-8A</t>
  </si>
  <si>
    <t>MTP-E725D-1A</t>
  </si>
  <si>
    <t>MTP-E725D-2A</t>
  </si>
  <si>
    <t>MTP-E725D-3A</t>
  </si>
  <si>
    <t>MTP-E725L-5A</t>
  </si>
  <si>
    <t>MTP-E725L-8A</t>
  </si>
  <si>
    <t>MTP-V002G-1B</t>
  </si>
  <si>
    <t>MTP-V002G-7B2</t>
  </si>
  <si>
    <t>MTP-V004G-7B</t>
  </si>
  <si>
    <t>MTP-V004G-7B2</t>
  </si>
  <si>
    <t>MTP-V005G-7B</t>
  </si>
  <si>
    <t>MTP-V006G-7B</t>
  </si>
  <si>
    <t>MTP-VD02D-7E</t>
  </si>
  <si>
    <t>MTP-VD200GL-1B</t>
  </si>
  <si>
    <t>MTP-VD200L-2B</t>
  </si>
  <si>
    <t>MTP-VD300-5B</t>
  </si>
  <si>
    <t>MTP-VT01G-1B2</t>
  </si>
  <si>
    <t>MTP-VT01G-7B</t>
  </si>
  <si>
    <t>MW-610H-1A</t>
  </si>
  <si>
    <t>MW-610H-2A</t>
  </si>
  <si>
    <t>MW-610H-4A</t>
  </si>
  <si>
    <t>MWD-100H-1A</t>
  </si>
  <si>
    <t>MWD-100H-9A</t>
  </si>
  <si>
    <t>MWD-110H-3A</t>
  </si>
  <si>
    <t>W-215H-2A</t>
  </si>
  <si>
    <t>W-219HC-3B</t>
  </si>
  <si>
    <t>W-219HC-8B</t>
  </si>
  <si>
    <t>W-219HD-1A</t>
  </si>
  <si>
    <t>W-736H-2A</t>
  </si>
  <si>
    <t>W-737HX-5A</t>
  </si>
  <si>
    <t>WS-1300H-2A</t>
  </si>
  <si>
    <t>WS-2100H-1A</t>
  </si>
  <si>
    <t>WS-2100H-1A2</t>
  </si>
  <si>
    <t>EDIFICE</t>
  </si>
  <si>
    <t>ECB-10DB-1B</t>
  </si>
  <si>
    <t>ECB-30DB-1A</t>
  </si>
  <si>
    <t>ECB-30DC-1A</t>
  </si>
  <si>
    <t>ECB-30DC-1B</t>
  </si>
  <si>
    <t>ECB-900DB-1A</t>
  </si>
  <si>
    <t>ECB-900MP-1A</t>
  </si>
  <si>
    <t>ECB-900PB-1A</t>
  </si>
  <si>
    <t>EQS-930D-1A</t>
  </si>
  <si>
    <t>EQS-950D-1A</t>
  </si>
  <si>
    <t>ELLE TIME</t>
  </si>
  <si>
    <t>EL20054S05N</t>
  </si>
  <si>
    <t>FILA</t>
  </si>
  <si>
    <t>FL38199-003</t>
  </si>
  <si>
    <t>FL38313-003</t>
  </si>
  <si>
    <t>FL38316-001</t>
  </si>
  <si>
    <t>FL38316-101</t>
  </si>
  <si>
    <t>FL38317-002</t>
  </si>
  <si>
    <t>FL38338-106</t>
  </si>
  <si>
    <t>FOSSIL</t>
  </si>
  <si>
    <t>AM4632</t>
  </si>
  <si>
    <t>ES3964SET</t>
  </si>
  <si>
    <t>ES4002SET</t>
  </si>
  <si>
    <t>ES4356</t>
  </si>
  <si>
    <t>ES4455</t>
  </si>
  <si>
    <t>FS5511</t>
  </si>
  <si>
    <t>LE1040SET</t>
  </si>
  <si>
    <t>ME3091</t>
  </si>
  <si>
    <t>FRENCH CONNECTION</t>
  </si>
  <si>
    <t>FC1230RGM</t>
  </si>
  <si>
    <t>AW-500BB-4E</t>
  </si>
  <si>
    <t>AW-500E-1E</t>
  </si>
  <si>
    <t>AW-591GBX-1A9</t>
  </si>
  <si>
    <t>AWM-500D-1A</t>
  </si>
  <si>
    <t>AWM-500D-1A8</t>
  </si>
  <si>
    <t>AWM-500GD-4A</t>
  </si>
  <si>
    <t>AWM-500GD-9A</t>
  </si>
  <si>
    <t>AWR-M100SAR-1A</t>
  </si>
  <si>
    <t>AWR-M100SCT-1A</t>
  </si>
  <si>
    <t>DW-5000SS-1D</t>
  </si>
  <si>
    <t>DW-5600BWP-2D</t>
  </si>
  <si>
    <t>DW-5600CA-2D</t>
  </si>
  <si>
    <t>DW-5600CA-8D</t>
  </si>
  <si>
    <t>DW-5600EU-8A3</t>
  </si>
  <si>
    <t>DW-5600FF-8D</t>
  </si>
  <si>
    <t>DW-5600GC-7D</t>
  </si>
  <si>
    <t>DW-5600GL-9D</t>
  </si>
  <si>
    <t>DW-5600MNT-8D</t>
  </si>
  <si>
    <t>DW-5600NC-5D</t>
  </si>
  <si>
    <t>DW-5600NN-1D</t>
  </si>
  <si>
    <t>DW-5600PT-5D</t>
  </si>
  <si>
    <t>DW-5600SB-2D</t>
  </si>
  <si>
    <t>DW-5600SBY-4D</t>
  </si>
  <si>
    <t>DW-5600SR-1D</t>
  </si>
  <si>
    <t>DW-5600SRS-7D</t>
  </si>
  <si>
    <t>DW-5600THC-1D</t>
  </si>
  <si>
    <t>DW-5600THS-1D</t>
  </si>
  <si>
    <t>DW-5700PT-5D</t>
  </si>
  <si>
    <t>DW-5735D-1B</t>
  </si>
  <si>
    <t>DW-5900TD-9D</t>
  </si>
  <si>
    <t>DW-6900GL-4D</t>
  </si>
  <si>
    <t>DW-6900RCS-7D</t>
  </si>
  <si>
    <t>DW-6900RGB-1D</t>
  </si>
  <si>
    <t>DW-6900SBY-2D</t>
  </si>
  <si>
    <t>DW-6900SP-7D</t>
  </si>
  <si>
    <t>DW-6940RX-7D</t>
  </si>
  <si>
    <t>DW-B5600AH-6D</t>
  </si>
  <si>
    <t>DW-B5600G-2D</t>
  </si>
  <si>
    <t>DW-D5600NH-1D</t>
  </si>
  <si>
    <t>DW-D5600TD-3D</t>
  </si>
  <si>
    <t>DWE-5600CC-3D</t>
  </si>
  <si>
    <t>DWE-5600HG-1D</t>
  </si>
  <si>
    <t>DWE-5600KS-7D</t>
  </si>
  <si>
    <t>G-B001MVA-1D</t>
  </si>
  <si>
    <t>G-B001MVB-8D</t>
  </si>
  <si>
    <t>G-B001RG-3D</t>
  </si>
  <si>
    <t>G-B001RG-4D</t>
  </si>
  <si>
    <t>GA-1000-1A</t>
  </si>
  <si>
    <t>GA-100BNR-1A</t>
  </si>
  <si>
    <t>GA-100BP-1A</t>
  </si>
  <si>
    <t>GA-100CY-1A</t>
  </si>
  <si>
    <t>GA-100EU-8A2</t>
  </si>
  <si>
    <t>GA-100MF-1A</t>
  </si>
  <si>
    <t>GA-100SKC-1A</t>
  </si>
  <si>
    <t>GA-110BWP-2A</t>
  </si>
  <si>
    <t>GA-110CD-1A2</t>
  </si>
  <si>
    <t>GA-110CD-1A3</t>
  </si>
  <si>
    <t>GA-110GL-4A</t>
  </si>
  <si>
    <t>GA-110LPA-1A</t>
  </si>
  <si>
    <t>GA-110LS-7A</t>
  </si>
  <si>
    <t>GA-110MF-1A</t>
  </si>
  <si>
    <t>GA-110MMC-1A</t>
  </si>
  <si>
    <t>GA-110SS-1A</t>
  </si>
  <si>
    <t>GA-110WLP-7A</t>
  </si>
  <si>
    <t>GA-114RX-7A</t>
  </si>
  <si>
    <t>GA-140-1A1</t>
  </si>
  <si>
    <t>GA-140GB-1A2</t>
  </si>
  <si>
    <t>GA-2100-2A</t>
  </si>
  <si>
    <t>GA-2100AH-6A</t>
  </si>
  <si>
    <t>GA-2100BP-1A</t>
  </si>
  <si>
    <t>GA-2100BWP-2A</t>
  </si>
  <si>
    <t>GA-2100HC-2A</t>
  </si>
  <si>
    <t>GA-2100NC-3A</t>
  </si>
  <si>
    <t>GA-2100PT-2A</t>
  </si>
  <si>
    <t>GA-2100PTS-8A</t>
  </si>
  <si>
    <t>GA-2100RC-1A</t>
  </si>
  <si>
    <t>GA-2100RGB-1A</t>
  </si>
  <si>
    <t>GA-2100SU-1A</t>
  </si>
  <si>
    <t>GA-2100WS-7A</t>
  </si>
  <si>
    <t>GA-2200-2A</t>
  </si>
  <si>
    <t>GA-2200BB-1A</t>
  </si>
  <si>
    <t>GA-2200BNR-1A</t>
  </si>
  <si>
    <t>GA-2200FF-8A</t>
  </si>
  <si>
    <t>GA-2200GC-7A</t>
  </si>
  <si>
    <t>GA-2200NC-7A</t>
  </si>
  <si>
    <t>GA-2200SKL-4A</t>
  </si>
  <si>
    <t>GA-2200SKL-8A</t>
  </si>
  <si>
    <t>GA-400-1B</t>
  </si>
  <si>
    <t>GA-400GB-1A9</t>
  </si>
  <si>
    <t>GA-400PC-8A</t>
  </si>
  <si>
    <t>GA-700BP-1A</t>
  </si>
  <si>
    <t>GA-700BWP-2A</t>
  </si>
  <si>
    <t>GA-700CY-1A</t>
  </si>
  <si>
    <t>GA-700FF-8A</t>
  </si>
  <si>
    <t>GA-700HD-8A</t>
  </si>
  <si>
    <t>GA-700RC-1A</t>
  </si>
  <si>
    <t>GA-700RGB-1A</t>
  </si>
  <si>
    <t>GA-900-1A</t>
  </si>
  <si>
    <t>GA-900AG-1A</t>
  </si>
  <si>
    <t>GA-900AS-1A</t>
  </si>
  <si>
    <t>GA-900E-1A3</t>
  </si>
  <si>
    <t>GA-900SKL-2A</t>
  </si>
  <si>
    <t>GA-900SKL-7A</t>
  </si>
  <si>
    <t>GA-900TS-6A</t>
  </si>
  <si>
    <t>GA-900VB-1A</t>
  </si>
  <si>
    <t>GA-B001AH-6A</t>
  </si>
  <si>
    <t>GA-B2100-2A</t>
  </si>
  <si>
    <t>GA-B2100-3A</t>
  </si>
  <si>
    <t>GA-B2100BNR-1A</t>
  </si>
  <si>
    <t>GA-B2100CY-1A</t>
  </si>
  <si>
    <t>GA-B2100FC-1A</t>
  </si>
  <si>
    <t>GA-B2100FC-3A</t>
  </si>
  <si>
    <t>GA-B2100FC-7A</t>
  </si>
  <si>
    <t>GAE-2100WE-3A</t>
  </si>
  <si>
    <t>GBA-800SF-1A</t>
  </si>
  <si>
    <t>GBA-900-4A</t>
  </si>
  <si>
    <t>GBA-900SM-7A9</t>
  </si>
  <si>
    <t>GBD-100LM-1D</t>
  </si>
  <si>
    <t>GBX-100-1D</t>
  </si>
  <si>
    <t>GBX-100NS-4D</t>
  </si>
  <si>
    <t>GBX-100TT-8D</t>
  </si>
  <si>
    <t>GD-100-1B</t>
  </si>
  <si>
    <t>GM-110CL-6A</t>
  </si>
  <si>
    <t>GM-110GC-1A</t>
  </si>
  <si>
    <t>GM-110MF-1A</t>
  </si>
  <si>
    <t>GM-110SCM-1A</t>
  </si>
  <si>
    <t>GM-110SG-9A</t>
  </si>
  <si>
    <t>GM-110VB-1A</t>
  </si>
  <si>
    <t>GM-110VG-1A9</t>
  </si>
  <si>
    <t>GM-114GEM-1A9</t>
  </si>
  <si>
    <t>GM-2100MF-5A</t>
  </si>
  <si>
    <t>GM-2100WS-7A</t>
  </si>
  <si>
    <t>GM-5600CL-3D</t>
  </si>
  <si>
    <t>GM-5600G-9D</t>
  </si>
  <si>
    <t>GM-5600LC-7D</t>
  </si>
  <si>
    <t>GM-5600MF-2D</t>
  </si>
  <si>
    <t>GM-5600SCM-1D</t>
  </si>
  <si>
    <t>GM-5600SS-1D</t>
  </si>
  <si>
    <t>GM-5640GEM-1D</t>
  </si>
  <si>
    <t>GM-6900B-4D</t>
  </si>
  <si>
    <t>GM-6900CX-4D</t>
  </si>
  <si>
    <t>GM-6900G-9D</t>
  </si>
  <si>
    <t>GM-6900SCM-1D</t>
  </si>
  <si>
    <t>GM-6900SG-9D</t>
  </si>
  <si>
    <t>GM-B2100D-1A</t>
  </si>
  <si>
    <t>GM-S110-1A</t>
  </si>
  <si>
    <t>GM-S110B-8A</t>
  </si>
  <si>
    <t>GM-S110LB-2A</t>
  </si>
  <si>
    <t>GM-S110PG-1A</t>
  </si>
  <si>
    <t>GM-S114GEM-1A2</t>
  </si>
  <si>
    <t>GM-S2100BC-1A</t>
  </si>
  <si>
    <t>GM-S2100GB-1A</t>
  </si>
  <si>
    <t>GM-S2100MF-1A</t>
  </si>
  <si>
    <t>GM-S5600BC-1D</t>
  </si>
  <si>
    <t>GM-S5600PG-1D</t>
  </si>
  <si>
    <t>GM-S5600SK-7D</t>
  </si>
  <si>
    <t>GMA-B800-1A</t>
  </si>
  <si>
    <t>GMA-P2100-2A</t>
  </si>
  <si>
    <t>GMA-S110GB-1A</t>
  </si>
  <si>
    <t>GMA-S110GS-3A</t>
  </si>
  <si>
    <t>GMA-S110GS-8A</t>
  </si>
  <si>
    <t>GMA-S110NP-8A</t>
  </si>
  <si>
    <t>GMA-S110SG-7A</t>
  </si>
  <si>
    <t>GMA-S110TB-8A</t>
  </si>
  <si>
    <t>GMA-S110VW-2A</t>
  </si>
  <si>
    <t>GMA-S110VW-6A</t>
  </si>
  <si>
    <t>GMA-S110Y-9A</t>
  </si>
  <si>
    <t>GMA-S114RX-7A</t>
  </si>
  <si>
    <t>GMA-S120DP-2A</t>
  </si>
  <si>
    <t>GMA-S120GB-1A</t>
  </si>
  <si>
    <t>GMA-S120GS-3A</t>
  </si>
  <si>
    <t>GMA-S120GS-8A</t>
  </si>
  <si>
    <t>GMA-S120RB-1A</t>
  </si>
  <si>
    <t>GMA-S120SG-7A</t>
  </si>
  <si>
    <t>GMA-S120TB-8A</t>
  </si>
  <si>
    <t>GMA-S120VA-7A</t>
  </si>
  <si>
    <t>GMA-S130NP-8A</t>
  </si>
  <si>
    <t>GMA-S130PA-1A</t>
  </si>
  <si>
    <t>GMA-S140VA-7A</t>
  </si>
  <si>
    <t>GMA-S2100BS-7A</t>
  </si>
  <si>
    <t>GMA-S2100MD-7A</t>
  </si>
  <si>
    <t>GMA-S2100NC-4A</t>
  </si>
  <si>
    <t>GMA-S2100NC-8A</t>
  </si>
  <si>
    <t>GMA-S2100SK-1A</t>
  </si>
  <si>
    <t>GMA-S2100SK-2A</t>
  </si>
  <si>
    <t>GMA-S2100WS-7A</t>
  </si>
  <si>
    <t>GMA-S2140RX-7A</t>
  </si>
  <si>
    <t>GMA-S2200-7A</t>
  </si>
  <si>
    <t>GMA-S2200M-4A</t>
  </si>
  <si>
    <t>GMA-S2200M-7A</t>
  </si>
  <si>
    <t>GMD-S5600-1D</t>
  </si>
  <si>
    <t>GMD-S5600-2D</t>
  </si>
  <si>
    <t>GMD-S5600-8D</t>
  </si>
  <si>
    <t>GMD-S5600BA-3D</t>
  </si>
  <si>
    <t>GMD-S5600BA-4D</t>
  </si>
  <si>
    <t>GMD-S5600CT-3D</t>
  </si>
  <si>
    <t>GMD-S5600NC-2D</t>
  </si>
  <si>
    <t>GMD-S5600NC-9D</t>
  </si>
  <si>
    <t>GMW-B5000G-2D</t>
  </si>
  <si>
    <t>GMW-B5000GD-4D</t>
  </si>
  <si>
    <t>GMW-B5000GD-9D</t>
  </si>
  <si>
    <t>GMW-B5000PC-1D</t>
  </si>
  <si>
    <t>GMW-B5000PG-9D</t>
  </si>
  <si>
    <t>GMW-B5000PS-1D</t>
  </si>
  <si>
    <t>GST-B400MV-5A</t>
  </si>
  <si>
    <t>GST-B500BD-1A9</t>
  </si>
  <si>
    <t>GW-9400Y-1D</t>
  </si>
  <si>
    <t>GW-B5600-2D</t>
  </si>
  <si>
    <t>GW-B5600HR-1D</t>
  </si>
  <si>
    <t>GW-B5600SGZ-7D</t>
  </si>
  <si>
    <t>GW-B5600SL-4D</t>
  </si>
  <si>
    <t>GWG-2000-1A1</t>
  </si>
  <si>
    <t>GWG-2000-1A3</t>
  </si>
  <si>
    <t>GWG-B1000-3A</t>
  </si>
  <si>
    <t>GWR-B1000-1A</t>
  </si>
  <si>
    <t>GX-56SS-1D</t>
  </si>
  <si>
    <t>SLV-19B-1D</t>
  </si>
  <si>
    <t>GARMIN</t>
  </si>
  <si>
    <t>FENIX5S+RG/W</t>
  </si>
  <si>
    <t>FENIX5SCAMERA</t>
  </si>
  <si>
    <t>FENIX5SROSEGOLD</t>
  </si>
  <si>
    <t>FENIX5SROSEGOLDTONESAPPHIREWITHWHITEBAND</t>
  </si>
  <si>
    <t>FR735PURPLE</t>
  </si>
  <si>
    <t>VIVOMOVEHRPREMIUMGOLD</t>
  </si>
  <si>
    <t>GC</t>
  </si>
  <si>
    <t>Y16015L5</t>
  </si>
  <si>
    <t>Y16019L7</t>
  </si>
  <si>
    <t>Y31003L1</t>
  </si>
  <si>
    <t>Y34002L1</t>
  </si>
  <si>
    <t>Y34006L5</t>
  </si>
  <si>
    <t>Y41003L1</t>
  </si>
  <si>
    <t>Y41007L3</t>
  </si>
  <si>
    <t>Y42002L2</t>
  </si>
  <si>
    <t>Y42003L7</t>
  </si>
  <si>
    <t>Y46001L5MF</t>
  </si>
  <si>
    <t>Y47001L5</t>
  </si>
  <si>
    <t>Y47002L1</t>
  </si>
  <si>
    <t>Y47004L1</t>
  </si>
  <si>
    <t>Y48002L1</t>
  </si>
  <si>
    <t>Y49001L1</t>
  </si>
  <si>
    <t>Y49002L1</t>
  </si>
  <si>
    <t>Y54002G2</t>
  </si>
  <si>
    <t>Y56002L1</t>
  </si>
  <si>
    <t>Y56003L1</t>
  </si>
  <si>
    <t>Y56004L1MF</t>
  </si>
  <si>
    <t>Y56005L1MF</t>
  </si>
  <si>
    <t>Y56008L7MF</t>
  </si>
  <si>
    <t>Y58001L1</t>
  </si>
  <si>
    <t>Y58002L5</t>
  </si>
  <si>
    <t>Y58005L1</t>
  </si>
  <si>
    <t>Y60001L1</t>
  </si>
  <si>
    <t>Y63006G7</t>
  </si>
  <si>
    <t>Y70002G2</t>
  </si>
  <si>
    <t>Y76001L1MF</t>
  </si>
  <si>
    <t>Y78001L2MF</t>
  </si>
  <si>
    <t>Y78003L1MF</t>
  </si>
  <si>
    <t>Y81002G5MF</t>
  </si>
  <si>
    <t>Y88001L1MF</t>
  </si>
  <si>
    <t>Y96004L1MF</t>
  </si>
  <si>
    <t>Y98001L5MF</t>
  </si>
  <si>
    <t>Y98002L1</t>
  </si>
  <si>
    <t>Y99001G2MF</t>
  </si>
  <si>
    <t>Z01009L4MF</t>
  </si>
  <si>
    <t>Z01010L9MF</t>
  </si>
  <si>
    <t>Z12003L1MF</t>
  </si>
  <si>
    <t>Z15001L1MF</t>
  </si>
  <si>
    <t>Z15002L1MF</t>
  </si>
  <si>
    <t>Z20002L1MF</t>
  </si>
  <si>
    <t>Z20003L1MF</t>
  </si>
  <si>
    <t>Z22004L1MF</t>
  </si>
  <si>
    <t>LEE COOPER</t>
  </si>
  <si>
    <t>LC06673.431</t>
  </si>
  <si>
    <t>LC06707.350</t>
  </si>
  <si>
    <t>LC07408.110</t>
  </si>
  <si>
    <t>LC07408.330</t>
  </si>
  <si>
    <t>LC07541.370</t>
  </si>
  <si>
    <t>MIDO</t>
  </si>
  <si>
    <t>M0246303629100</t>
  </si>
  <si>
    <t>POLICE</t>
  </si>
  <si>
    <t>PL15037JSB/02</t>
  </si>
  <si>
    <t>PL15037JSB/02(T)</t>
  </si>
  <si>
    <t>PL15714JSB/02</t>
  </si>
  <si>
    <t>PL15714JSU/61</t>
  </si>
  <si>
    <t>PL15922JS/02MM</t>
  </si>
  <si>
    <t>SUUNTO</t>
  </si>
  <si>
    <t>SS021238000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</si>
</sst>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p. ]#,##0.00"/>
    <numFmt numFmtId="165" formatCode="d-mmm-yy"/>
  </numFmts>
  <fonts count="13">
    <font>
      <sz val="10.0"/>
      <color rgb="FF000000"/>
      <name val="Arial"/>
      <scheme val="minor"/>
    </font>
    <font>
      <color theme="1"/>
      <name val="Arial"/>
      <scheme val="minor"/>
    </font>
    <font>
      <sz val="14.0"/>
      <color rgb="FF333333"/>
      <name val="-apple-system"/>
    </font>
    <font>
      <b/>
      <sz val="11.0"/>
      <color rgb="FF172B4D"/>
      <name val="SimSun"/>
    </font>
    <font>
      <b/>
      <sz val="11.0"/>
      <color rgb="FF660000"/>
      <name val="Inter"/>
    </font>
    <font>
      <sz val="11.0"/>
      <color rgb="FF000000"/>
      <name val="SimSun"/>
    </font>
    <font>
      <color rgb="FF000000"/>
      <name val="Calibri"/>
    </font>
    <font>
      <b/>
      <sz val="11.0"/>
      <color rgb="FFFCE5CD"/>
      <name val="Calibri"/>
    </font>
    <font>
      <b/>
      <sz val="12.0"/>
      <color theme="1"/>
      <name val="Calibri"/>
    </font>
    <font>
      <sz val="11.0"/>
      <color rgb="FF000000"/>
      <name val="Calibri"/>
    </font>
    <font>
      <u/>
      <sz val="11.0"/>
      <color rgb="FF000000"/>
      <name val="Calibri"/>
    </font>
    <font>
      <sz val="11.0"/>
      <color rgb="FF980000"/>
      <name val="Calibri"/>
    </font>
    <font/>
  </fonts>
  <fills count="10">
    <fill>
      <patternFill patternType="none"/>
    </fill>
    <fill>
      <patternFill patternType="lightGray"/>
    </fill>
    <fill>
      <patternFill patternType="solid">
        <fgColor rgb="FFFFFF00"/>
        <bgColor rgb="FFFFFF00"/>
      </patternFill>
    </fill>
    <fill>
      <patternFill patternType="solid">
        <fgColor rgb="FFF5F5F5"/>
        <bgColor rgb="FFF5F5F5"/>
      </patternFill>
    </fill>
    <fill>
      <patternFill patternType="solid">
        <fgColor rgb="FFF69113"/>
        <bgColor rgb="FFF69113"/>
      </patternFill>
    </fill>
    <fill>
      <patternFill patternType="solid">
        <fgColor rgb="FFD9D9D9"/>
        <bgColor rgb="FFD9D9D9"/>
      </patternFill>
    </fill>
    <fill>
      <patternFill patternType="solid">
        <fgColor rgb="FF980000"/>
        <bgColor rgb="FF980000"/>
      </patternFill>
    </fill>
    <fill>
      <patternFill patternType="solid">
        <fgColor rgb="FFFFFFFF"/>
        <bgColor rgb="FFFFFFFF"/>
      </patternFill>
    </fill>
    <fill>
      <patternFill patternType="solid">
        <fgColor rgb="FFFFC0CB"/>
        <bgColor rgb="FFFFC0CB"/>
      </patternFill>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0" fillId="2" fontId="1" numFmtId="9" xfId="0" applyFill="1" applyFont="1" applyNumberFormat="1"/>
    <xf borderId="0" fillId="3" fontId="2" numFmtId="0" xfId="0" applyAlignment="1" applyFill="1" applyFont="1">
      <alignment readingOrder="0"/>
    </xf>
    <xf borderId="1" fillId="4" fontId="3" numFmtId="0" xfId="0" applyAlignment="1" applyBorder="1" applyFill="1" applyFont="1">
      <alignment horizontal="left" readingOrder="0" vertical="top"/>
    </xf>
    <xf borderId="2" fillId="4" fontId="3" numFmtId="0" xfId="0" applyAlignment="1" applyBorder="1" applyFill="1" applyFont="1">
      <alignment horizontal="left" readingOrder="0" vertical="top"/>
    </xf>
    <xf borderId="0" fillId="0" fontId="4" numFmtId="0" xfId="0" applyAlignment="1" applyFont="1">
      <alignment readingOrder="0"/>
    </xf>
    <xf borderId="3" fillId="5" fontId="3" numFmtId="0" xfId="0" applyAlignment="1" applyBorder="1" applyFill="1" applyFont="1">
      <alignment horizontal="left" readingOrder="0" vertical="top"/>
    </xf>
    <xf borderId="0" fillId="0" fontId="1" numFmtId="0" xfId="0" applyAlignment="1" applyFont="1">
      <alignment vertical="center"/>
    </xf>
    <xf borderId="4" fillId="5" fontId="3" numFmtId="0" xfId="0" applyAlignment="1" applyBorder="1" applyFill="1" applyFont="1">
      <alignment horizontal="left" readingOrder="0" vertical="top"/>
    </xf>
    <xf borderId="3" fillId="5" fontId="5" numFmtId="0" xfId="0" applyAlignment="1" applyBorder="1" applyFill="1" applyFont="1">
      <alignment horizontal="left" readingOrder="0" vertical="top"/>
    </xf>
    <xf borderId="4" fillId="5" fontId="5" numFmtId="0" xfId="0" applyAlignment="1" applyBorder="1" applyFill="1" applyFont="1">
      <alignment horizontal="left" readingOrder="0" vertical="top"/>
    </xf>
    <xf borderId="0" fillId="0" fontId="4" numFmtId="0" xfId="0" applyAlignment="1" applyFont="1">
      <alignment readingOrder="0" vertical="center"/>
    </xf>
    <xf borderId="0" fillId="2" fontId="1" numFmtId="9" xfId="0" applyAlignment="1" applyFill="1" applyFont="1" applyNumberFormat="1">
      <alignment readingOrder="0"/>
    </xf>
    <xf borderId="0" fillId="0" fontId="6" numFmtId="0" xfId="0" applyAlignment="1" applyFont="1">
      <alignment horizontal="left" readingOrder="0" shrinkToFit="0" vertical="bottom" wrapText="0"/>
    </xf>
    <xf borderId="0" fillId="0" fontId="6" numFmtId="0" xfId="0" applyAlignment="1" applyFont="1">
      <alignment shrinkToFit="0" vertical="bottom" wrapText="0"/>
    </xf>
    <xf borderId="0" fillId="0" fontId="6" numFmtId="0" xfId="0" applyAlignment="1" applyFont="1">
      <alignment horizontal="right" readingOrder="0" shrinkToFit="0" vertical="bottom" wrapText="0"/>
    </xf>
    <xf borderId="1" fillId="6" fontId="7" numFmtId="0" xfId="0" applyAlignment="1" applyBorder="1" applyFill="1" applyFont="1">
      <alignment horizontal="center" vertical="bottom"/>
    </xf>
    <xf borderId="5" fillId="6" fontId="7" numFmtId="0" xfId="0" applyAlignment="1" applyBorder="1" applyFill="1" applyFont="1">
      <alignment horizontal="center" vertical="bottom"/>
    </xf>
    <xf borderId="1" fillId="7" fontId="8" numFmtId="0" xfId="0" applyAlignment="1" applyBorder="1" applyFill="1" applyFont="1">
      <alignment horizontal="center" vertical="center"/>
    </xf>
    <xf borderId="1" fillId="7" fontId="8" numFmtId="0" xfId="0" applyAlignment="1" applyBorder="1" applyFill="1" applyFont="1">
      <alignment vertical="bottom"/>
    </xf>
    <xf borderId="1" fillId="7" fontId="8" numFmtId="0" xfId="0" applyAlignment="1" applyBorder="1" applyFill="1" applyFont="1">
      <alignment horizontal="center" vertical="bottom"/>
    </xf>
    <xf borderId="1" fillId="7" fontId="8" numFmtId="164" xfId="0" applyAlignment="1" applyBorder="1" applyFill="1" applyFont="1" applyNumberFormat="1">
      <alignment horizontal="center" vertical="bottom"/>
    </xf>
    <xf borderId="1" fillId="0" fontId="9" numFmtId="0" xfId="0" applyAlignment="1" applyBorder="1" applyFont="1">
      <alignment vertical="top"/>
    </xf>
    <xf borderId="1" fillId="0" fontId="10" numFmtId="0" xfId="0" applyAlignment="1" applyBorder="1" applyFont="1">
      <alignment vertical="top"/>
    </xf>
    <xf borderId="1" fillId="0" fontId="9" numFmtId="3" xfId="0" applyAlignment="1" applyBorder="1" applyFont="1" applyNumberFormat="1">
      <alignment horizontal="right" vertical="top"/>
    </xf>
    <xf borderId="1" fillId="0" fontId="9" numFmtId="0" xfId="0" applyAlignment="1" applyBorder="1" applyFont="1">
      <alignment horizontal="right" vertical="top"/>
    </xf>
    <xf borderId="6" fillId="0" fontId="11" numFmtId="0" xfId="0" applyAlignment="1" applyBorder="1" applyFont="1">
      <alignment horizontal="right" vertical="bottom"/>
    </xf>
    <xf borderId="1" fillId="0" fontId="11" numFmtId="0" xfId="0" applyAlignment="1" applyBorder="1" applyFont="1">
      <alignment horizontal="right" vertical="bottom"/>
    </xf>
    <xf borderId="7" fillId="7" fontId="8" numFmtId="165" xfId="0" applyAlignment="1" applyBorder="1" applyFill="1" applyFont="1" applyNumberFormat="1">
      <alignment horizontal="center" readingOrder="0" vertical="center"/>
    </xf>
    <xf borderId="1" fillId="0" fontId="1" numFmtId="0" xfId="0" applyAlignment="1" applyBorder="1" applyFont="1">
      <alignment readingOrder="0"/>
    </xf>
    <xf borderId="1" fillId="8" fontId="9" numFmtId="0" xfId="0" applyAlignment="1" applyBorder="1" applyFill="1" applyFont="1">
      <alignment horizontal="left" readingOrder="0" vertical="top"/>
    </xf>
    <xf borderId="1" fillId="9" fontId="9" numFmtId="3" xfId="0" applyAlignment="1" applyBorder="1" applyFill="1" applyFont="1" applyNumberFormat="1">
      <alignment horizontal="right" readingOrder="0" vertical="top"/>
    </xf>
    <xf borderId="1" fillId="0" fontId="1" numFmtId="9" xfId="0" applyAlignment="1" applyBorder="1" applyFont="1" applyNumberFormat="1">
      <alignment readingOrder="0"/>
    </xf>
    <xf borderId="1" fillId="0" fontId="1" numFmtId="9" xfId="0" applyBorder="1" applyFont="1" applyNumberFormat="1"/>
    <xf borderId="1" fillId="0" fontId="1" numFmtId="3" xfId="0" applyBorder="1" applyFont="1" applyNumberFormat="1"/>
    <xf borderId="8" fillId="0" fontId="12" numFmtId="0" xfId="0" applyBorder="1" applyFont="1"/>
    <xf borderId="1" fillId="0" fontId="9" numFmtId="3" xfId="0" applyAlignment="1" applyBorder="1" applyFont="1" applyNumberFormat="1">
      <alignment horizontal="right" readingOrder="0" vertical="top"/>
    </xf>
    <xf borderId="3" fillId="0" fontId="12" numFmtId="0" xfId="0" applyBorder="1" applyFont="1"/>
    <xf borderId="1" fillId="9" fontId="9" numFmtId="0" xfId="0" applyAlignment="1" applyBorder="1" applyFill="1" applyFont="1">
      <alignment horizontal="left" readingOrder="0" vertical="top"/>
    </xf>
    <xf borderId="1" fillId="0" fontId="9" numFmtId="0" xfId="0" applyAlignment="1" applyBorder="1" applyFont="1">
      <alignment horizontal="left" readingOrder="0" vertical="top"/>
    </xf>
    <xf borderId="1" fillId="0" fontId="1" numFmtId="0" xfId="0" applyBorder="1" applyFont="1"/>
    <xf borderId="0" fillId="7" fontId="8" numFmtId="165" xfId="0" applyAlignment="1" applyFill="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2.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923925</xdr:colOff>
      <xdr:row>13</xdr:row>
      <xdr:rowOff>85725</xdr:rowOff>
    </xdr:from>
    <xdr:ext cx="4876800" cy="4314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34</xdr:row>
      <xdr:rowOff>0</xdr:rowOff>
    </xdr:from>
    <xdr:ext cx="4876800" cy="44481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55</xdr:row>
      <xdr:rowOff>0</xdr:rowOff>
    </xdr:from>
    <xdr:ext cx="4876800" cy="42576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876300</xdr:colOff>
      <xdr:row>0</xdr:row>
      <xdr:rowOff>0</xdr:rowOff>
    </xdr:from>
    <xdr:ext cx="5505450" cy="18764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638175</xdr:colOff>
      <xdr:row>11</xdr:row>
      <xdr:rowOff>133350</xdr:rowOff>
    </xdr:from>
    <xdr:ext cx="6981825" cy="20669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7" max="7" width="24.0"/>
    <col customWidth="1" min="11" max="11" width="28.0"/>
  </cols>
  <sheetData>
    <row r="1">
      <c r="A1" s="1" t="s">
        <v>0</v>
      </c>
      <c r="L1" s="2"/>
    </row>
    <row r="2">
      <c r="L2" s="2"/>
    </row>
    <row r="3">
      <c r="L3" s="2"/>
    </row>
    <row r="4">
      <c r="A4" s="3" t="s">
        <v>1</v>
      </c>
      <c r="L4" s="2"/>
    </row>
    <row r="5">
      <c r="A5" s="4" t="s">
        <v>2</v>
      </c>
      <c r="B5" s="5" t="s">
        <v>3</v>
      </c>
      <c r="C5" s="5" t="s">
        <v>4</v>
      </c>
      <c r="D5" s="5" t="s">
        <v>5</v>
      </c>
      <c r="E5" s="5" t="s">
        <v>6</v>
      </c>
      <c r="F5" s="5" t="s">
        <v>7</v>
      </c>
      <c r="G5" s="5" t="s">
        <v>8</v>
      </c>
      <c r="H5" s="5" t="s">
        <v>9</v>
      </c>
      <c r="I5" s="5" t="s">
        <v>10</v>
      </c>
      <c r="J5" s="5" t="s">
        <v>11</v>
      </c>
      <c r="K5" s="5" t="s">
        <v>12</v>
      </c>
      <c r="L5" s="2"/>
    </row>
    <row r="6">
      <c r="A6" s="7" t="s">
        <v>13</v>
      </c>
      <c r="B6" s="9" t="s">
        <v>14</v>
      </c>
      <c r="C6" s="9" t="s">
        <v>13</v>
      </c>
      <c r="D6" s="9" t="s">
        <v>14</v>
      </c>
      <c r="E6" s="9" t="s">
        <v>13</v>
      </c>
      <c r="F6" s="9" t="s">
        <v>13</v>
      </c>
      <c r="G6" s="9" t="s">
        <v>15</v>
      </c>
      <c r="H6" s="9" t="s">
        <v>13</v>
      </c>
      <c r="I6" s="9" t="s">
        <v>15</v>
      </c>
      <c r="J6" s="9" t="s">
        <v>15</v>
      </c>
      <c r="K6" s="9" t="s">
        <v>13</v>
      </c>
      <c r="L6" s="2"/>
    </row>
    <row r="7">
      <c r="A7" s="10" t="s">
        <v>16</v>
      </c>
      <c r="B7" s="11" t="s">
        <v>18</v>
      </c>
      <c r="C7" s="11" t="s">
        <v>19</v>
      </c>
      <c r="D7" s="11" t="s">
        <v>20</v>
      </c>
      <c r="E7" s="11" t="s">
        <v>21</v>
      </c>
      <c r="F7" s="11" t="s">
        <v>22</v>
      </c>
      <c r="G7" s="11" t="s">
        <v>23</v>
      </c>
      <c r="H7" s="11" t="s">
        <v>24</v>
      </c>
      <c r="I7" s="11" t="s">
        <v>25</v>
      </c>
      <c r="J7" s="11" t="s">
        <v>26</v>
      </c>
      <c r="K7" s="11" t="s">
        <v>27</v>
      </c>
      <c r="L7" s="13" t="s">
        <v>28</v>
      </c>
    </row>
    <row r="8">
      <c r="A8" s="14" t="s">
        <v>30</v>
      </c>
      <c r="B8" s="14">
        <v>2.6789478718E10</v>
      </c>
      <c r="C8" s="15"/>
      <c r="D8" s="14">
        <v>2.859632266E11</v>
      </c>
      <c r="E8" s="14">
        <v>3700000.0</v>
      </c>
      <c r="F8" s="14">
        <v>3174600.0</v>
      </c>
      <c r="G8" s="14">
        <v>3174600.0</v>
      </c>
      <c r="H8" s="16">
        <v>16.0</v>
      </c>
      <c r="I8" s="16">
        <v>0.0</v>
      </c>
      <c r="J8" s="16">
        <v>0.0</v>
      </c>
      <c r="K8" s="14" t="s">
        <v>36</v>
      </c>
      <c r="L8" s="2">
        <f t="shared" ref="L8:L15" si="1">1-(G8/E8)</f>
        <v>0.142</v>
      </c>
    </row>
    <row r="9">
      <c r="A9" s="14" t="s">
        <v>47</v>
      </c>
      <c r="B9" s="14">
        <v>4.3605537281E10</v>
      </c>
      <c r="C9" s="15"/>
      <c r="D9" s="14">
        <v>2.34307784604E11</v>
      </c>
      <c r="E9" s="14">
        <v>950000.0</v>
      </c>
      <c r="F9" s="14">
        <v>651700.0</v>
      </c>
      <c r="G9" s="14">
        <v>655499.0</v>
      </c>
      <c r="H9" s="16">
        <v>138.0</v>
      </c>
      <c r="I9" s="16">
        <v>0.0</v>
      </c>
      <c r="J9" s="16">
        <v>0.0</v>
      </c>
      <c r="K9" s="14" t="s">
        <v>36</v>
      </c>
      <c r="L9" s="2">
        <f t="shared" si="1"/>
        <v>0.3100010526</v>
      </c>
    </row>
    <row r="10">
      <c r="A10" s="14" t="s">
        <v>52</v>
      </c>
      <c r="B10" s="14">
        <v>5.7959977495E10</v>
      </c>
      <c r="C10" s="15"/>
      <c r="D10" s="14">
        <v>3.40881227207E11</v>
      </c>
      <c r="E10" s="14">
        <v>950000.0</v>
      </c>
      <c r="F10" s="14">
        <v>651700.0</v>
      </c>
      <c r="G10" s="14">
        <v>655499.0</v>
      </c>
      <c r="H10" s="16">
        <v>87.0</v>
      </c>
      <c r="I10" s="16">
        <v>0.0</v>
      </c>
      <c r="J10" s="16">
        <v>0.0</v>
      </c>
      <c r="K10" s="14" t="s">
        <v>36</v>
      </c>
      <c r="L10" s="2">
        <f t="shared" si="1"/>
        <v>0.3100010526</v>
      </c>
    </row>
    <row r="11">
      <c r="A11" s="14" t="s">
        <v>54</v>
      </c>
      <c r="B11" s="14">
        <v>4.4313912558E10</v>
      </c>
      <c r="C11" s="15"/>
      <c r="D11" s="14">
        <v>2.76149179539E11</v>
      </c>
      <c r="E11" s="14">
        <v>950000.0</v>
      </c>
      <c r="F11" s="14">
        <v>651700.0</v>
      </c>
      <c r="G11" s="14">
        <v>655499.0</v>
      </c>
      <c r="H11" s="16">
        <v>263.0</v>
      </c>
      <c r="I11" s="16">
        <v>0.0</v>
      </c>
      <c r="J11" s="16">
        <v>0.0</v>
      </c>
      <c r="K11" s="14" t="s">
        <v>36</v>
      </c>
      <c r="L11" s="2">
        <f t="shared" si="1"/>
        <v>0.3100010526</v>
      </c>
    </row>
    <row r="12">
      <c r="A12" s="14" t="s">
        <v>57</v>
      </c>
      <c r="B12" s="14">
        <v>5.2050725079E10</v>
      </c>
      <c r="C12" s="15"/>
      <c r="D12" s="14">
        <v>4.30063994067E11</v>
      </c>
      <c r="E12" s="14">
        <v>950000.0</v>
      </c>
      <c r="F12" s="14">
        <v>651700.0</v>
      </c>
      <c r="G12" s="14">
        <v>658350.0</v>
      </c>
      <c r="H12" s="16">
        <v>169.0</v>
      </c>
      <c r="I12" s="16">
        <v>0.0</v>
      </c>
      <c r="J12" s="16">
        <v>0.0</v>
      </c>
      <c r="K12" s="14" t="s">
        <v>36</v>
      </c>
      <c r="L12" s="2">
        <f t="shared" si="1"/>
        <v>0.307</v>
      </c>
    </row>
    <row r="13">
      <c r="A13" s="14" t="s">
        <v>59</v>
      </c>
      <c r="B13" s="14">
        <v>2.77384856E10</v>
      </c>
      <c r="C13" s="15"/>
      <c r="D13" s="14">
        <v>2.16154374401E11</v>
      </c>
      <c r="E13" s="14">
        <v>1300000.0</v>
      </c>
      <c r="F13" s="14">
        <v>897000.0</v>
      </c>
      <c r="G13" s="14">
        <v>897000.0</v>
      </c>
      <c r="H13" s="16">
        <v>143.0</v>
      </c>
      <c r="I13" s="16">
        <v>0.0</v>
      </c>
      <c r="J13" s="16">
        <v>0.0</v>
      </c>
      <c r="K13" s="14" t="s">
        <v>36</v>
      </c>
      <c r="L13" s="2">
        <f t="shared" si="1"/>
        <v>0.31</v>
      </c>
    </row>
    <row r="14">
      <c r="A14" s="14" t="s">
        <v>60</v>
      </c>
      <c r="B14" s="14">
        <v>4.040781338E10</v>
      </c>
      <c r="C14" s="15"/>
      <c r="D14" s="14">
        <v>2.1859173034E11</v>
      </c>
      <c r="E14" s="14">
        <v>1300000.0</v>
      </c>
      <c r="F14" s="14">
        <v>897000.0</v>
      </c>
      <c r="G14" s="14">
        <v>897000.0</v>
      </c>
      <c r="H14" s="16">
        <v>49.0</v>
      </c>
      <c r="I14" s="16">
        <v>0.0</v>
      </c>
      <c r="J14" s="16">
        <v>0.0</v>
      </c>
      <c r="K14" s="14" t="s">
        <v>36</v>
      </c>
      <c r="L14" s="2">
        <f t="shared" si="1"/>
        <v>0.31</v>
      </c>
    </row>
    <row r="15">
      <c r="A15" s="14" t="s">
        <v>61</v>
      </c>
      <c r="B15" s="14">
        <v>5.676793722E10</v>
      </c>
      <c r="C15" s="15"/>
      <c r="D15" s="14">
        <v>4.31517926038E11</v>
      </c>
      <c r="E15" s="14">
        <v>680000.0</v>
      </c>
      <c r="F15" s="14">
        <v>499800.0</v>
      </c>
      <c r="G15" s="14">
        <v>503200.0</v>
      </c>
      <c r="H15" s="16">
        <v>20.0</v>
      </c>
      <c r="I15" s="16">
        <v>0.0</v>
      </c>
      <c r="J15" s="16">
        <v>0.0</v>
      </c>
      <c r="K15" s="14" t="s">
        <v>36</v>
      </c>
      <c r="L15" s="2">
        <f t="shared" si="1"/>
        <v>0.26</v>
      </c>
    </row>
    <row r="16">
      <c r="L16" s="2"/>
    </row>
    <row r="17">
      <c r="L17" s="2"/>
    </row>
    <row r="18">
      <c r="L18" s="2"/>
    </row>
    <row r="19">
      <c r="A19" s="3" t="s">
        <v>62</v>
      </c>
      <c r="L19" s="2"/>
    </row>
    <row r="20">
      <c r="A20" s="4" t="s">
        <v>2</v>
      </c>
      <c r="B20" s="5" t="s">
        <v>3</v>
      </c>
      <c r="C20" s="5" t="s">
        <v>4</v>
      </c>
      <c r="D20" s="5" t="s">
        <v>5</v>
      </c>
      <c r="E20" s="5" t="s">
        <v>6</v>
      </c>
      <c r="F20" s="5" t="s">
        <v>7</v>
      </c>
      <c r="G20" s="5" t="s">
        <v>8</v>
      </c>
      <c r="H20" s="5" t="s">
        <v>9</v>
      </c>
      <c r="I20" s="5" t="s">
        <v>10</v>
      </c>
      <c r="J20" s="5" t="s">
        <v>11</v>
      </c>
      <c r="K20" s="5" t="s">
        <v>12</v>
      </c>
      <c r="L20" s="2"/>
    </row>
    <row r="21">
      <c r="A21" s="7" t="s">
        <v>13</v>
      </c>
      <c r="B21" s="9" t="s">
        <v>14</v>
      </c>
      <c r="C21" s="9" t="s">
        <v>13</v>
      </c>
      <c r="D21" s="9" t="s">
        <v>14</v>
      </c>
      <c r="E21" s="9" t="s">
        <v>13</v>
      </c>
      <c r="F21" s="9" t="s">
        <v>13</v>
      </c>
      <c r="G21" s="9" t="s">
        <v>15</v>
      </c>
      <c r="H21" s="9" t="s">
        <v>13</v>
      </c>
      <c r="I21" s="9" t="s">
        <v>15</v>
      </c>
      <c r="J21" s="9" t="s">
        <v>15</v>
      </c>
      <c r="K21" s="9" t="s">
        <v>13</v>
      </c>
      <c r="L21" s="2"/>
    </row>
    <row r="22">
      <c r="A22" s="10" t="s">
        <v>16</v>
      </c>
      <c r="B22" s="11" t="s">
        <v>18</v>
      </c>
      <c r="C22" s="11" t="s">
        <v>19</v>
      </c>
      <c r="D22" s="11" t="s">
        <v>20</v>
      </c>
      <c r="E22" s="11" t="s">
        <v>21</v>
      </c>
      <c r="F22" s="11" t="s">
        <v>22</v>
      </c>
      <c r="G22" s="11" t="s">
        <v>23</v>
      </c>
      <c r="H22" s="11" t="s">
        <v>24</v>
      </c>
      <c r="I22" s="11" t="s">
        <v>25</v>
      </c>
      <c r="J22" s="11" t="s">
        <v>26</v>
      </c>
      <c r="K22" s="11" t="s">
        <v>27</v>
      </c>
      <c r="L22" s="2"/>
    </row>
    <row r="23">
      <c r="A23" s="14" t="s">
        <v>65</v>
      </c>
      <c r="B23" s="14">
        <v>4.1526732591E10</v>
      </c>
      <c r="C23" s="15"/>
      <c r="D23" s="14">
        <v>3.20200331771E11</v>
      </c>
      <c r="E23" s="14">
        <v>1300000.0</v>
      </c>
      <c r="F23" s="14">
        <v>897000.0</v>
      </c>
      <c r="G23" s="14">
        <v>897000.0</v>
      </c>
      <c r="H23" s="16">
        <v>76.0</v>
      </c>
      <c r="I23" s="16">
        <v>0.0</v>
      </c>
      <c r="J23" s="16">
        <v>0.0</v>
      </c>
      <c r="K23" s="14" t="s">
        <v>36</v>
      </c>
      <c r="L23" s="2">
        <f t="shared" ref="L23:L24" si="2">1-(G23/E23)</f>
        <v>0.31</v>
      </c>
    </row>
    <row r="24">
      <c r="A24" s="14" t="s">
        <v>66</v>
      </c>
      <c r="B24" s="14">
        <v>4.4307813171E10</v>
      </c>
      <c r="C24" s="15"/>
      <c r="D24" s="14">
        <v>2.48609320331E11</v>
      </c>
      <c r="E24" s="14">
        <v>1300000.0</v>
      </c>
      <c r="F24" s="14">
        <v>897000.0</v>
      </c>
      <c r="G24" s="14">
        <v>897000.0</v>
      </c>
      <c r="H24" s="16">
        <v>35.0</v>
      </c>
      <c r="I24" s="16">
        <v>0.0</v>
      </c>
      <c r="J24" s="16">
        <v>0.0</v>
      </c>
      <c r="K24" s="14" t="s">
        <v>36</v>
      </c>
      <c r="L24" s="2">
        <f t="shared" si="2"/>
        <v>0.31</v>
      </c>
    </row>
    <row r="25">
      <c r="L25" s="2"/>
    </row>
    <row r="26">
      <c r="L26" s="2"/>
    </row>
    <row r="27">
      <c r="A27" s="3" t="s">
        <v>67</v>
      </c>
      <c r="L27" s="2"/>
    </row>
    <row r="28">
      <c r="A28" s="4" t="s">
        <v>2</v>
      </c>
      <c r="B28" s="5" t="s">
        <v>3</v>
      </c>
      <c r="C28" s="5" t="s">
        <v>4</v>
      </c>
      <c r="D28" s="5" t="s">
        <v>5</v>
      </c>
      <c r="E28" s="5" t="s">
        <v>6</v>
      </c>
      <c r="F28" s="5" t="s">
        <v>7</v>
      </c>
      <c r="G28" s="5" t="s">
        <v>8</v>
      </c>
      <c r="H28" s="5" t="s">
        <v>9</v>
      </c>
      <c r="I28" s="5" t="s">
        <v>10</v>
      </c>
      <c r="J28" s="5" t="s">
        <v>11</v>
      </c>
      <c r="K28" s="5" t="s">
        <v>12</v>
      </c>
      <c r="L28" s="2"/>
    </row>
    <row r="29">
      <c r="A29" s="7" t="s">
        <v>13</v>
      </c>
      <c r="B29" s="9" t="s">
        <v>14</v>
      </c>
      <c r="C29" s="9" t="s">
        <v>13</v>
      </c>
      <c r="D29" s="9" t="s">
        <v>14</v>
      </c>
      <c r="E29" s="9" t="s">
        <v>13</v>
      </c>
      <c r="F29" s="9" t="s">
        <v>13</v>
      </c>
      <c r="G29" s="9" t="s">
        <v>15</v>
      </c>
      <c r="H29" s="9" t="s">
        <v>13</v>
      </c>
      <c r="I29" s="9" t="s">
        <v>15</v>
      </c>
      <c r="J29" s="9" t="s">
        <v>15</v>
      </c>
      <c r="K29" s="9" t="s">
        <v>13</v>
      </c>
      <c r="L29" s="2"/>
    </row>
    <row r="30">
      <c r="A30" s="10" t="s">
        <v>16</v>
      </c>
      <c r="B30" s="11" t="s">
        <v>18</v>
      </c>
      <c r="C30" s="11" t="s">
        <v>19</v>
      </c>
      <c r="D30" s="11" t="s">
        <v>20</v>
      </c>
      <c r="E30" s="11" t="s">
        <v>21</v>
      </c>
      <c r="F30" s="11" t="s">
        <v>22</v>
      </c>
      <c r="G30" s="11" t="s">
        <v>23</v>
      </c>
      <c r="H30" s="11" t="s">
        <v>24</v>
      </c>
      <c r="I30" s="11" t="s">
        <v>25</v>
      </c>
      <c r="J30" s="11" t="s">
        <v>26</v>
      </c>
      <c r="K30" s="11" t="s">
        <v>27</v>
      </c>
      <c r="L30" s="2"/>
    </row>
    <row r="31">
      <c r="A31" s="14" t="s">
        <v>52</v>
      </c>
      <c r="B31" s="14">
        <v>5.7959977495E10</v>
      </c>
      <c r="C31" s="15"/>
      <c r="D31" s="14">
        <v>3.40881227207E11</v>
      </c>
      <c r="E31" s="14">
        <v>950000.0</v>
      </c>
      <c r="F31" s="14">
        <v>651700.0</v>
      </c>
      <c r="G31" s="14">
        <v>651700.0</v>
      </c>
      <c r="H31" s="16">
        <v>87.0</v>
      </c>
      <c r="I31" s="16">
        <v>0.0</v>
      </c>
      <c r="J31" s="16">
        <v>0.0</v>
      </c>
      <c r="K31" s="14" t="s">
        <v>36</v>
      </c>
      <c r="L31" s="2">
        <f t="shared" ref="L31:L38" si="3">1-(G31/E31)</f>
        <v>0.314</v>
      </c>
    </row>
    <row r="32">
      <c r="A32" s="14" t="s">
        <v>54</v>
      </c>
      <c r="B32" s="14">
        <v>4.4313912558E10</v>
      </c>
      <c r="C32" s="15"/>
      <c r="D32" s="14">
        <v>2.76149179539E11</v>
      </c>
      <c r="E32" s="14">
        <v>950000.0</v>
      </c>
      <c r="F32" s="14">
        <v>651700.0</v>
      </c>
      <c r="G32" s="14">
        <v>651700.0</v>
      </c>
      <c r="H32" s="16">
        <v>263.0</v>
      </c>
      <c r="I32" s="16">
        <v>0.0</v>
      </c>
      <c r="J32" s="16">
        <v>0.0</v>
      </c>
      <c r="K32" s="14" t="s">
        <v>36</v>
      </c>
      <c r="L32" s="2">
        <f t="shared" si="3"/>
        <v>0.314</v>
      </c>
    </row>
    <row r="33">
      <c r="A33" s="14" t="s">
        <v>57</v>
      </c>
      <c r="B33" s="14">
        <v>5.2050725079E10</v>
      </c>
      <c r="C33" s="15"/>
      <c r="D33" s="14">
        <v>4.30063994067E11</v>
      </c>
      <c r="E33" s="14">
        <v>950000.0</v>
      </c>
      <c r="F33" s="14">
        <v>651700.0</v>
      </c>
      <c r="G33" s="14">
        <v>651700.0</v>
      </c>
      <c r="H33" s="16">
        <v>169.0</v>
      </c>
      <c r="I33" s="16">
        <v>0.0</v>
      </c>
      <c r="J33" s="16">
        <v>0.0</v>
      </c>
      <c r="K33" s="14" t="s">
        <v>36</v>
      </c>
      <c r="L33" s="2">
        <f t="shared" si="3"/>
        <v>0.314</v>
      </c>
    </row>
    <row r="34">
      <c r="A34" s="14" t="s">
        <v>61</v>
      </c>
      <c r="B34" s="14">
        <v>5.676793722E10</v>
      </c>
      <c r="C34" s="15"/>
      <c r="D34" s="14">
        <v>4.31517926038E11</v>
      </c>
      <c r="E34" s="14">
        <v>680000.0</v>
      </c>
      <c r="F34" s="14">
        <v>499800.0</v>
      </c>
      <c r="G34" s="14">
        <v>499800.0</v>
      </c>
      <c r="H34" s="16">
        <v>20.0</v>
      </c>
      <c r="I34" s="16">
        <v>0.0</v>
      </c>
      <c r="J34" s="16">
        <v>0.0</v>
      </c>
      <c r="K34" s="14" t="s">
        <v>36</v>
      </c>
      <c r="L34" s="2">
        <f t="shared" si="3"/>
        <v>0.265</v>
      </c>
    </row>
    <row r="35">
      <c r="A35" s="14" t="s">
        <v>70</v>
      </c>
      <c r="B35" s="14">
        <v>4.2668347326E10</v>
      </c>
      <c r="C35" s="15"/>
      <c r="D35" s="14">
        <v>2.96507259577E11</v>
      </c>
      <c r="E35" s="14">
        <v>1050000.0</v>
      </c>
      <c r="F35" s="14">
        <v>720300.0</v>
      </c>
      <c r="G35" s="14">
        <v>720300.0</v>
      </c>
      <c r="H35" s="16">
        <v>30.0</v>
      </c>
      <c r="I35" s="16">
        <v>0.0</v>
      </c>
      <c r="J35" s="16">
        <v>0.0</v>
      </c>
      <c r="K35" s="14" t="s">
        <v>36</v>
      </c>
      <c r="L35" s="2">
        <f t="shared" si="3"/>
        <v>0.314</v>
      </c>
    </row>
    <row r="36">
      <c r="A36" s="14" t="s">
        <v>73</v>
      </c>
      <c r="B36" s="14">
        <v>4.0318347438E10</v>
      </c>
      <c r="C36" s="15"/>
      <c r="D36" s="14">
        <v>2.96507285821E11</v>
      </c>
      <c r="E36" s="14">
        <v>1050000.0</v>
      </c>
      <c r="F36" s="14">
        <v>720300.0</v>
      </c>
      <c r="G36" s="14">
        <v>720300.0</v>
      </c>
      <c r="H36" s="16">
        <v>38.0</v>
      </c>
      <c r="I36" s="16">
        <v>0.0</v>
      </c>
      <c r="J36" s="16">
        <v>0.0</v>
      </c>
      <c r="K36" s="14" t="s">
        <v>36</v>
      </c>
      <c r="L36" s="2">
        <f t="shared" si="3"/>
        <v>0.314</v>
      </c>
    </row>
    <row r="37">
      <c r="A37" s="14" t="s">
        <v>75</v>
      </c>
      <c r="B37" s="14">
        <v>2.7745808092E10</v>
      </c>
      <c r="C37" s="15"/>
      <c r="D37" s="14">
        <v>1.86434158728E11</v>
      </c>
      <c r="E37" s="14">
        <v>650000.0</v>
      </c>
      <c r="F37" s="14">
        <v>477750.0</v>
      </c>
      <c r="G37" s="14">
        <v>477750.0</v>
      </c>
      <c r="H37" s="16">
        <v>10.0</v>
      </c>
      <c r="I37" s="16">
        <v>0.0</v>
      </c>
      <c r="J37" s="16">
        <v>0.0</v>
      </c>
      <c r="K37" s="14" t="s">
        <v>36</v>
      </c>
      <c r="L37" s="2">
        <f t="shared" si="3"/>
        <v>0.265</v>
      </c>
    </row>
    <row r="38">
      <c r="A38" s="14" t="s">
        <v>47</v>
      </c>
      <c r="B38" s="14">
        <v>4.3605537281E10</v>
      </c>
      <c r="C38" s="15"/>
      <c r="D38" s="14">
        <v>2.34307784604E11</v>
      </c>
      <c r="E38" s="14">
        <v>950000.0</v>
      </c>
      <c r="F38" s="14">
        <v>651700.0</v>
      </c>
      <c r="G38" s="14">
        <v>651700.0</v>
      </c>
      <c r="H38" s="16">
        <v>138.0</v>
      </c>
      <c r="I38" s="16">
        <v>0.0</v>
      </c>
      <c r="J38" s="16">
        <v>0.0</v>
      </c>
      <c r="K38" s="14" t="s">
        <v>36</v>
      </c>
      <c r="L38" s="2">
        <f t="shared" si="3"/>
        <v>0.314</v>
      </c>
    </row>
    <row r="39">
      <c r="L39" s="2"/>
    </row>
    <row r="40">
      <c r="L40" s="2"/>
    </row>
    <row r="41">
      <c r="L41" s="2"/>
    </row>
    <row r="42">
      <c r="A42" s="6" t="s">
        <v>17</v>
      </c>
      <c r="L42" s="2"/>
    </row>
    <row r="43">
      <c r="L43" s="2"/>
    </row>
    <row r="44">
      <c r="L44" s="2"/>
    </row>
    <row r="45">
      <c r="L45" s="2"/>
    </row>
    <row r="46">
      <c r="L46" s="2"/>
    </row>
    <row r="47">
      <c r="L47" s="2"/>
    </row>
    <row r="48">
      <c r="L48" s="2"/>
    </row>
    <row r="49">
      <c r="L49" s="2"/>
    </row>
    <row r="50">
      <c r="L50" s="2"/>
    </row>
    <row r="51">
      <c r="L51" s="2"/>
    </row>
    <row r="52">
      <c r="L52" s="2"/>
    </row>
    <row r="53">
      <c r="L53" s="2"/>
    </row>
    <row r="54">
      <c r="L54" s="2"/>
    </row>
    <row r="55">
      <c r="L55" s="2"/>
    </row>
    <row r="56">
      <c r="L56" s="2"/>
    </row>
    <row r="57">
      <c r="L57" s="2"/>
    </row>
    <row r="58">
      <c r="L58" s="2"/>
    </row>
    <row r="59">
      <c r="L59" s="2"/>
    </row>
    <row r="60">
      <c r="L60" s="2"/>
    </row>
    <row r="61">
      <c r="L61" s="2"/>
    </row>
    <row r="62">
      <c r="L62" s="2"/>
    </row>
    <row r="63">
      <c r="L63" s="2"/>
    </row>
    <row r="64">
      <c r="L64" s="2"/>
    </row>
    <row r="65">
      <c r="L65" s="2"/>
    </row>
    <row r="66">
      <c r="L66" s="2"/>
    </row>
    <row r="67">
      <c r="L67" s="2"/>
    </row>
    <row r="68">
      <c r="L68" s="2"/>
    </row>
    <row r="69">
      <c r="L69" s="2"/>
    </row>
    <row r="70">
      <c r="L70" s="2"/>
    </row>
    <row r="71">
      <c r="L71" s="2"/>
    </row>
    <row r="72">
      <c r="L72" s="2"/>
    </row>
    <row r="73">
      <c r="L73" s="2"/>
    </row>
    <row r="74">
      <c r="L74" s="2"/>
    </row>
    <row r="75">
      <c r="L75" s="2"/>
    </row>
    <row r="76">
      <c r="L76" s="2"/>
    </row>
    <row r="77">
      <c r="L77" s="2"/>
    </row>
    <row r="78">
      <c r="L78" s="2"/>
    </row>
    <row r="79">
      <c r="L79" s="2"/>
    </row>
    <row r="80">
      <c r="L80" s="2"/>
    </row>
    <row r="81">
      <c r="L81" s="2"/>
    </row>
    <row r="82">
      <c r="L82" s="2"/>
    </row>
    <row r="83">
      <c r="L83" s="2"/>
    </row>
    <row r="84">
      <c r="L84" s="2"/>
    </row>
    <row r="85">
      <c r="L85" s="2"/>
    </row>
    <row r="86">
      <c r="L86" s="2"/>
    </row>
    <row r="87">
      <c r="L87" s="2"/>
    </row>
    <row r="88">
      <c r="L88" s="2"/>
    </row>
    <row r="89">
      <c r="L89" s="2"/>
    </row>
    <row r="90">
      <c r="L90" s="2"/>
    </row>
    <row r="91">
      <c r="L91" s="2"/>
    </row>
    <row r="92">
      <c r="L92" s="2"/>
    </row>
    <row r="93">
      <c r="L93" s="2"/>
    </row>
    <row r="94">
      <c r="L94" s="2"/>
    </row>
    <row r="95">
      <c r="L95" s="2"/>
    </row>
    <row r="96">
      <c r="L96" s="2"/>
    </row>
    <row r="97">
      <c r="L97" s="2"/>
    </row>
    <row r="98">
      <c r="L98" s="2"/>
    </row>
    <row r="99">
      <c r="L99" s="2"/>
    </row>
    <row r="100">
      <c r="L100" s="2"/>
    </row>
    <row r="101">
      <c r="L101" s="2"/>
    </row>
    <row r="102">
      <c r="L102" s="2"/>
    </row>
    <row r="103">
      <c r="L103" s="2"/>
    </row>
    <row r="104">
      <c r="L104" s="2"/>
    </row>
    <row r="105">
      <c r="L105" s="2"/>
    </row>
    <row r="106">
      <c r="L106" s="2"/>
    </row>
    <row r="107">
      <c r="L107" s="2"/>
    </row>
    <row r="108">
      <c r="L108" s="2"/>
    </row>
    <row r="109">
      <c r="L109" s="2"/>
    </row>
    <row r="110">
      <c r="L110" s="2"/>
    </row>
    <row r="111">
      <c r="L111" s="2"/>
    </row>
    <row r="112">
      <c r="L112" s="2"/>
    </row>
    <row r="113">
      <c r="L113" s="2"/>
    </row>
    <row r="114">
      <c r="L114" s="2"/>
    </row>
    <row r="115">
      <c r="L115" s="2"/>
    </row>
    <row r="116">
      <c r="L116" s="2"/>
    </row>
    <row r="117">
      <c r="L117" s="2"/>
    </row>
    <row r="118">
      <c r="L118" s="2"/>
    </row>
    <row r="119">
      <c r="L119" s="2"/>
    </row>
    <row r="120">
      <c r="L120" s="2"/>
    </row>
    <row r="121">
      <c r="L121" s="2"/>
    </row>
    <row r="122">
      <c r="L122" s="2"/>
    </row>
    <row r="123">
      <c r="L123" s="2"/>
    </row>
    <row r="124">
      <c r="L124" s="2"/>
    </row>
    <row r="125">
      <c r="L125" s="2"/>
    </row>
    <row r="126">
      <c r="L126" s="2"/>
    </row>
    <row r="127">
      <c r="L127" s="2"/>
    </row>
    <row r="128">
      <c r="L128" s="2"/>
    </row>
    <row r="129">
      <c r="L129" s="2"/>
    </row>
    <row r="130">
      <c r="L130" s="2"/>
    </row>
    <row r="131">
      <c r="L131" s="2"/>
    </row>
    <row r="132">
      <c r="L132" s="2"/>
    </row>
    <row r="133">
      <c r="L133" s="2"/>
    </row>
    <row r="134">
      <c r="L134" s="2"/>
    </row>
    <row r="135">
      <c r="L135" s="2"/>
    </row>
    <row r="136">
      <c r="L136" s="2"/>
    </row>
    <row r="137">
      <c r="L137" s="2"/>
    </row>
    <row r="138">
      <c r="L138" s="2"/>
    </row>
    <row r="139">
      <c r="L139" s="2"/>
    </row>
    <row r="140">
      <c r="L140" s="2"/>
    </row>
    <row r="141">
      <c r="L141" s="2"/>
    </row>
    <row r="142">
      <c r="L142" s="2"/>
    </row>
    <row r="143">
      <c r="L143" s="2"/>
    </row>
    <row r="144">
      <c r="L144" s="2"/>
    </row>
    <row r="145">
      <c r="L145" s="2"/>
    </row>
    <row r="146">
      <c r="L146" s="2"/>
    </row>
    <row r="147">
      <c r="L147" s="2"/>
    </row>
    <row r="148">
      <c r="L148" s="2"/>
    </row>
    <row r="149">
      <c r="L149" s="2"/>
    </row>
    <row r="150">
      <c r="L150" s="2"/>
    </row>
    <row r="151">
      <c r="L151" s="2"/>
    </row>
    <row r="152">
      <c r="L152" s="2"/>
    </row>
    <row r="153">
      <c r="L153" s="2"/>
    </row>
    <row r="154">
      <c r="L154" s="2"/>
    </row>
    <row r="155">
      <c r="L155" s="2"/>
    </row>
    <row r="156">
      <c r="L156" s="2"/>
    </row>
    <row r="157">
      <c r="L157" s="2"/>
    </row>
    <row r="158">
      <c r="L158" s="2"/>
    </row>
    <row r="159">
      <c r="L159" s="2"/>
    </row>
    <row r="160">
      <c r="L160" s="2"/>
    </row>
    <row r="161">
      <c r="L161" s="2"/>
    </row>
    <row r="162">
      <c r="L162" s="2"/>
    </row>
    <row r="163">
      <c r="L163" s="2"/>
    </row>
    <row r="164">
      <c r="L164" s="2"/>
    </row>
    <row r="165">
      <c r="L165" s="2"/>
    </row>
    <row r="166">
      <c r="L166" s="2"/>
    </row>
    <row r="167">
      <c r="L167" s="2"/>
    </row>
    <row r="168">
      <c r="L168" s="2"/>
    </row>
    <row r="169">
      <c r="L169" s="2"/>
    </row>
    <row r="170">
      <c r="L170" s="2"/>
    </row>
    <row r="171">
      <c r="L171" s="2"/>
    </row>
    <row r="172">
      <c r="L172" s="2"/>
    </row>
    <row r="173">
      <c r="L173" s="2"/>
    </row>
    <row r="174">
      <c r="L174" s="2"/>
    </row>
    <row r="175">
      <c r="L175" s="2"/>
    </row>
    <row r="176">
      <c r="L176" s="2"/>
    </row>
    <row r="177">
      <c r="L177" s="2"/>
    </row>
    <row r="178">
      <c r="L178" s="2"/>
    </row>
    <row r="179">
      <c r="L179" s="2"/>
    </row>
    <row r="180">
      <c r="L180" s="2"/>
    </row>
    <row r="181">
      <c r="L181" s="2"/>
    </row>
    <row r="182">
      <c r="L182" s="2"/>
    </row>
    <row r="183">
      <c r="L183" s="2"/>
    </row>
    <row r="184">
      <c r="L184" s="2"/>
    </row>
    <row r="185">
      <c r="L185" s="2"/>
    </row>
    <row r="186">
      <c r="L186" s="2"/>
    </row>
    <row r="187">
      <c r="L187" s="2"/>
    </row>
    <row r="188">
      <c r="L188" s="2"/>
    </row>
    <row r="189">
      <c r="L189" s="2"/>
    </row>
    <row r="190">
      <c r="L190" s="2"/>
    </row>
    <row r="191">
      <c r="L191" s="2"/>
    </row>
    <row r="192">
      <c r="L192" s="2"/>
    </row>
    <row r="193">
      <c r="L193" s="2"/>
    </row>
    <row r="194">
      <c r="L194" s="2"/>
    </row>
    <row r="195">
      <c r="L195" s="2"/>
    </row>
    <row r="196">
      <c r="L196" s="2"/>
    </row>
    <row r="197">
      <c r="L197" s="2"/>
    </row>
    <row r="198">
      <c r="L198" s="2"/>
    </row>
    <row r="199">
      <c r="L199" s="2"/>
    </row>
    <row r="200">
      <c r="L200" s="2"/>
    </row>
    <row r="201">
      <c r="L201" s="2"/>
    </row>
    <row r="202">
      <c r="L202" s="2"/>
    </row>
    <row r="203">
      <c r="L203" s="2"/>
    </row>
    <row r="204">
      <c r="L204" s="2"/>
    </row>
    <row r="205">
      <c r="L205" s="2"/>
    </row>
    <row r="206">
      <c r="L206" s="2"/>
    </row>
    <row r="207">
      <c r="L207" s="2"/>
    </row>
    <row r="208">
      <c r="L208" s="2"/>
    </row>
    <row r="209">
      <c r="L209" s="2"/>
    </row>
    <row r="210">
      <c r="L210" s="2"/>
    </row>
    <row r="211">
      <c r="L211" s="2"/>
    </row>
    <row r="212">
      <c r="L212" s="2"/>
    </row>
    <row r="213">
      <c r="L213" s="2"/>
    </row>
    <row r="214">
      <c r="L214" s="2"/>
    </row>
    <row r="215">
      <c r="L215" s="2"/>
    </row>
    <row r="216">
      <c r="L216" s="2"/>
    </row>
    <row r="217">
      <c r="L217" s="2"/>
    </row>
    <row r="218">
      <c r="L218" s="2"/>
    </row>
    <row r="219">
      <c r="L219" s="2"/>
    </row>
    <row r="220">
      <c r="L220" s="2"/>
    </row>
    <row r="221">
      <c r="L221" s="2"/>
    </row>
    <row r="222">
      <c r="L222" s="2"/>
    </row>
    <row r="223">
      <c r="L223" s="2"/>
    </row>
    <row r="224">
      <c r="L224" s="2"/>
    </row>
    <row r="225">
      <c r="L225" s="2"/>
    </row>
    <row r="226">
      <c r="L226" s="2"/>
    </row>
    <row r="227">
      <c r="L227" s="2"/>
    </row>
    <row r="228">
      <c r="L228" s="2"/>
    </row>
    <row r="229">
      <c r="L229" s="2"/>
    </row>
    <row r="230">
      <c r="L230" s="2"/>
    </row>
    <row r="231">
      <c r="L231" s="2"/>
    </row>
    <row r="232">
      <c r="L232" s="2"/>
    </row>
    <row r="233">
      <c r="L233" s="2"/>
    </row>
    <row r="234">
      <c r="L234" s="2"/>
    </row>
    <row r="235">
      <c r="L235" s="2"/>
    </row>
    <row r="236">
      <c r="L236" s="2"/>
    </row>
    <row r="237">
      <c r="L237" s="2"/>
    </row>
    <row r="238">
      <c r="L238" s="2"/>
    </row>
    <row r="239">
      <c r="L239" s="2"/>
    </row>
    <row r="240">
      <c r="L240" s="2"/>
    </row>
    <row r="241">
      <c r="L241" s="2"/>
    </row>
    <row r="242">
      <c r="L242" s="2"/>
    </row>
    <row r="243">
      <c r="L243" s="2"/>
    </row>
    <row r="244">
      <c r="L244" s="2"/>
    </row>
    <row r="245">
      <c r="L245" s="2"/>
    </row>
    <row r="246">
      <c r="L246" s="2"/>
    </row>
    <row r="247">
      <c r="L247" s="2"/>
    </row>
    <row r="248">
      <c r="L248" s="2"/>
    </row>
    <row r="249">
      <c r="L249" s="2"/>
    </row>
    <row r="250">
      <c r="L250" s="2"/>
    </row>
    <row r="251">
      <c r="L251" s="2"/>
    </row>
    <row r="252">
      <c r="L252" s="2"/>
    </row>
    <row r="253">
      <c r="L253" s="2"/>
    </row>
    <row r="254">
      <c r="L254" s="2"/>
    </row>
    <row r="255">
      <c r="L255" s="2"/>
    </row>
    <row r="256">
      <c r="L256" s="2"/>
    </row>
    <row r="257">
      <c r="L257" s="2"/>
    </row>
    <row r="258">
      <c r="L258" s="2"/>
    </row>
    <row r="259">
      <c r="L259" s="2"/>
    </row>
    <row r="260">
      <c r="L260" s="2"/>
    </row>
    <row r="261">
      <c r="L261" s="2"/>
    </row>
    <row r="262">
      <c r="L262" s="2"/>
    </row>
    <row r="263">
      <c r="L263" s="2"/>
    </row>
    <row r="264">
      <c r="L264" s="2"/>
    </row>
    <row r="265">
      <c r="L265" s="2"/>
    </row>
    <row r="266">
      <c r="L266" s="2"/>
    </row>
    <row r="267">
      <c r="L267" s="2"/>
    </row>
    <row r="268">
      <c r="L268" s="2"/>
    </row>
    <row r="269">
      <c r="L269" s="2"/>
    </row>
    <row r="270">
      <c r="L270" s="2"/>
    </row>
    <row r="271">
      <c r="L271" s="2"/>
    </row>
    <row r="272">
      <c r="L272" s="2"/>
    </row>
    <row r="273">
      <c r="L273" s="2"/>
    </row>
    <row r="274">
      <c r="L274" s="2"/>
    </row>
    <row r="275">
      <c r="L275" s="2"/>
    </row>
    <row r="276">
      <c r="L276" s="2"/>
    </row>
    <row r="277">
      <c r="L277" s="2"/>
    </row>
    <row r="278">
      <c r="L278" s="2"/>
    </row>
    <row r="279">
      <c r="L279" s="2"/>
    </row>
    <row r="280">
      <c r="L280" s="2"/>
    </row>
    <row r="281">
      <c r="L281" s="2"/>
    </row>
    <row r="282">
      <c r="L282" s="2"/>
    </row>
    <row r="283">
      <c r="L283" s="2"/>
    </row>
    <row r="284">
      <c r="L284" s="2"/>
    </row>
    <row r="285">
      <c r="L285" s="2"/>
    </row>
    <row r="286">
      <c r="L286" s="2"/>
    </row>
    <row r="287">
      <c r="L287" s="2"/>
    </row>
    <row r="288">
      <c r="L288" s="2"/>
    </row>
    <row r="289">
      <c r="L289" s="2"/>
    </row>
    <row r="290">
      <c r="L290" s="2"/>
    </row>
    <row r="291">
      <c r="L291" s="2"/>
    </row>
    <row r="292">
      <c r="L292" s="2"/>
    </row>
    <row r="293">
      <c r="L293" s="2"/>
    </row>
    <row r="294">
      <c r="L294" s="2"/>
    </row>
    <row r="295">
      <c r="L295" s="2"/>
    </row>
    <row r="296">
      <c r="L296" s="2"/>
    </row>
    <row r="297">
      <c r="L297" s="2"/>
    </row>
    <row r="298">
      <c r="L298" s="2"/>
    </row>
    <row r="299">
      <c r="L299" s="2"/>
    </row>
    <row r="300">
      <c r="L300" s="2"/>
    </row>
    <row r="301">
      <c r="L301" s="2"/>
    </row>
    <row r="302">
      <c r="L302" s="2"/>
    </row>
    <row r="303">
      <c r="L303" s="2"/>
    </row>
    <row r="304">
      <c r="L304" s="2"/>
    </row>
    <row r="305">
      <c r="L305" s="2"/>
    </row>
    <row r="306">
      <c r="L306" s="2"/>
    </row>
    <row r="307">
      <c r="L307" s="2"/>
    </row>
    <row r="308">
      <c r="L308" s="2"/>
    </row>
    <row r="309">
      <c r="L309" s="2"/>
    </row>
    <row r="310">
      <c r="L310" s="2"/>
    </row>
    <row r="311">
      <c r="L311" s="2"/>
    </row>
    <row r="312">
      <c r="L312" s="2"/>
    </row>
    <row r="313">
      <c r="L313" s="2"/>
    </row>
    <row r="314">
      <c r="L314" s="2"/>
    </row>
    <row r="315">
      <c r="L315" s="2"/>
    </row>
    <row r="316">
      <c r="L316" s="2"/>
    </row>
    <row r="317">
      <c r="L317" s="2"/>
    </row>
    <row r="318">
      <c r="L318" s="2"/>
    </row>
    <row r="319">
      <c r="L319" s="2"/>
    </row>
    <row r="320">
      <c r="L320" s="2"/>
    </row>
    <row r="321">
      <c r="L321" s="2"/>
    </row>
    <row r="322">
      <c r="L322" s="2"/>
    </row>
    <row r="323">
      <c r="L323" s="2"/>
    </row>
    <row r="324">
      <c r="L324" s="2"/>
    </row>
    <row r="325">
      <c r="L325" s="2"/>
    </row>
    <row r="326">
      <c r="L326" s="2"/>
    </row>
    <row r="327">
      <c r="L327" s="2"/>
    </row>
    <row r="328">
      <c r="L328" s="2"/>
    </row>
    <row r="329">
      <c r="L329" s="2"/>
    </row>
    <row r="330">
      <c r="L330" s="2"/>
    </row>
    <row r="331">
      <c r="L331" s="2"/>
    </row>
    <row r="332">
      <c r="L332" s="2"/>
    </row>
    <row r="333">
      <c r="L333" s="2"/>
    </row>
    <row r="334">
      <c r="L334" s="2"/>
    </row>
    <row r="335">
      <c r="L335" s="2"/>
    </row>
    <row r="336">
      <c r="L336" s="2"/>
    </row>
    <row r="337">
      <c r="L337" s="2"/>
    </row>
    <row r="338">
      <c r="L338" s="2"/>
    </row>
    <row r="339">
      <c r="L339" s="2"/>
    </row>
    <row r="340">
      <c r="L340" s="2"/>
    </row>
    <row r="341">
      <c r="L341" s="2"/>
    </row>
    <row r="342">
      <c r="L342" s="2"/>
    </row>
    <row r="343">
      <c r="L343" s="2"/>
    </row>
    <row r="344">
      <c r="L344" s="2"/>
    </row>
    <row r="345">
      <c r="L345" s="2"/>
    </row>
    <row r="346">
      <c r="L346" s="2"/>
    </row>
    <row r="347">
      <c r="L347" s="2"/>
    </row>
    <row r="348">
      <c r="L348" s="2"/>
    </row>
    <row r="349">
      <c r="L349" s="2"/>
    </row>
    <row r="350">
      <c r="L350" s="2"/>
    </row>
    <row r="351">
      <c r="L351" s="2"/>
    </row>
    <row r="352">
      <c r="L352" s="2"/>
    </row>
    <row r="353">
      <c r="L353" s="2"/>
    </row>
    <row r="354">
      <c r="L354" s="2"/>
    </row>
    <row r="355">
      <c r="L355" s="2"/>
    </row>
    <row r="356">
      <c r="L356" s="2"/>
    </row>
    <row r="357">
      <c r="L357" s="2"/>
    </row>
    <row r="358">
      <c r="L358" s="2"/>
    </row>
    <row r="359">
      <c r="L359" s="2"/>
    </row>
    <row r="360">
      <c r="L360" s="2"/>
    </row>
    <row r="361">
      <c r="L361" s="2"/>
    </row>
    <row r="362">
      <c r="L362" s="2"/>
    </row>
    <row r="363">
      <c r="L363" s="2"/>
    </row>
    <row r="364">
      <c r="L364" s="2"/>
    </row>
    <row r="365">
      <c r="L365" s="2"/>
    </row>
    <row r="366">
      <c r="L366" s="2"/>
    </row>
    <row r="367">
      <c r="L367" s="2"/>
    </row>
    <row r="368">
      <c r="L368" s="2"/>
    </row>
    <row r="369">
      <c r="L369" s="2"/>
    </row>
    <row r="370">
      <c r="L370" s="2"/>
    </row>
    <row r="371">
      <c r="L371" s="2"/>
    </row>
    <row r="372">
      <c r="L372" s="2"/>
    </row>
    <row r="373">
      <c r="L373" s="2"/>
    </row>
    <row r="374">
      <c r="L374" s="2"/>
    </row>
    <row r="375">
      <c r="L375" s="2"/>
    </row>
    <row r="376">
      <c r="L376" s="2"/>
    </row>
    <row r="377">
      <c r="L377" s="2"/>
    </row>
    <row r="378">
      <c r="L378" s="2"/>
    </row>
    <row r="379">
      <c r="L379" s="2"/>
    </row>
    <row r="380">
      <c r="L380" s="2"/>
    </row>
    <row r="381">
      <c r="L381" s="2"/>
    </row>
    <row r="382">
      <c r="L382" s="2"/>
    </row>
    <row r="383">
      <c r="L383" s="2"/>
    </row>
    <row r="384">
      <c r="L384" s="2"/>
    </row>
    <row r="385">
      <c r="L385" s="2"/>
    </row>
    <row r="386">
      <c r="L386" s="2"/>
    </row>
    <row r="387">
      <c r="L387" s="2"/>
    </row>
    <row r="388">
      <c r="L388" s="2"/>
    </row>
    <row r="389">
      <c r="L389" s="2"/>
    </row>
    <row r="390">
      <c r="L390" s="2"/>
    </row>
    <row r="391">
      <c r="L391" s="2"/>
    </row>
    <row r="392">
      <c r="L392" s="2"/>
    </row>
    <row r="393">
      <c r="L393" s="2"/>
    </row>
    <row r="394">
      <c r="L394" s="2"/>
    </row>
    <row r="395">
      <c r="L395" s="2"/>
    </row>
    <row r="396">
      <c r="L396" s="2"/>
    </row>
    <row r="397">
      <c r="L397" s="2"/>
    </row>
    <row r="398">
      <c r="L398" s="2"/>
    </row>
    <row r="399">
      <c r="L399" s="2"/>
    </row>
    <row r="400">
      <c r="L400" s="2"/>
    </row>
    <row r="401">
      <c r="L401" s="2"/>
    </row>
    <row r="402">
      <c r="L402" s="2"/>
    </row>
    <row r="403">
      <c r="L403" s="2"/>
    </row>
    <row r="404">
      <c r="L404" s="2"/>
    </row>
    <row r="405">
      <c r="L405" s="2"/>
    </row>
    <row r="406">
      <c r="L406" s="2"/>
    </row>
    <row r="407">
      <c r="L407" s="2"/>
    </row>
    <row r="408">
      <c r="L408" s="2"/>
    </row>
    <row r="409">
      <c r="L409" s="2"/>
    </row>
    <row r="410">
      <c r="L410" s="2"/>
    </row>
    <row r="411">
      <c r="L411" s="2"/>
    </row>
    <row r="412">
      <c r="L412" s="2"/>
    </row>
    <row r="413">
      <c r="L413" s="2"/>
    </row>
    <row r="414">
      <c r="L414" s="2"/>
    </row>
    <row r="415">
      <c r="L415" s="2"/>
    </row>
    <row r="416">
      <c r="L416" s="2"/>
    </row>
    <row r="417">
      <c r="L417" s="2"/>
    </row>
    <row r="418">
      <c r="L418" s="2"/>
    </row>
    <row r="419">
      <c r="L419" s="2"/>
    </row>
    <row r="420">
      <c r="L420" s="2"/>
    </row>
    <row r="421">
      <c r="L421" s="2"/>
    </row>
    <row r="422">
      <c r="L422" s="2"/>
    </row>
    <row r="423">
      <c r="L423" s="2"/>
    </row>
    <row r="424">
      <c r="L424" s="2"/>
    </row>
    <row r="425">
      <c r="L425" s="2"/>
    </row>
    <row r="426">
      <c r="L426" s="2"/>
    </row>
    <row r="427">
      <c r="L427" s="2"/>
    </row>
    <row r="428">
      <c r="L428" s="2"/>
    </row>
    <row r="429">
      <c r="L429" s="2"/>
    </row>
    <row r="430">
      <c r="L430" s="2"/>
    </row>
    <row r="431">
      <c r="L431" s="2"/>
    </row>
    <row r="432">
      <c r="L432" s="2"/>
    </row>
    <row r="433">
      <c r="L433" s="2"/>
    </row>
    <row r="434">
      <c r="L434" s="2"/>
    </row>
    <row r="435">
      <c r="L435" s="2"/>
    </row>
    <row r="436">
      <c r="L436" s="2"/>
    </row>
    <row r="437">
      <c r="L437" s="2"/>
    </row>
    <row r="438">
      <c r="L438" s="2"/>
    </row>
    <row r="439">
      <c r="L439" s="2"/>
    </row>
    <row r="440">
      <c r="L440" s="2"/>
    </row>
    <row r="441">
      <c r="L441" s="2"/>
    </row>
    <row r="442">
      <c r="L442" s="2"/>
    </row>
    <row r="443">
      <c r="L443" s="2"/>
    </row>
    <row r="444">
      <c r="L444" s="2"/>
    </row>
    <row r="445">
      <c r="L445" s="2"/>
    </row>
    <row r="446">
      <c r="L446" s="2"/>
    </row>
    <row r="447">
      <c r="L447" s="2"/>
    </row>
    <row r="448">
      <c r="L448" s="2"/>
    </row>
    <row r="449">
      <c r="L449" s="2"/>
    </row>
    <row r="450">
      <c r="L450" s="2"/>
    </row>
    <row r="451">
      <c r="L451" s="2"/>
    </row>
    <row r="452">
      <c r="L452" s="2"/>
    </row>
    <row r="453">
      <c r="L453" s="2"/>
    </row>
    <row r="454">
      <c r="L454" s="2"/>
    </row>
    <row r="455">
      <c r="L455" s="2"/>
    </row>
    <row r="456">
      <c r="L456" s="2"/>
    </row>
    <row r="457">
      <c r="L457" s="2"/>
    </row>
    <row r="458">
      <c r="L458" s="2"/>
    </row>
    <row r="459">
      <c r="L459" s="2"/>
    </row>
    <row r="460">
      <c r="L460" s="2"/>
    </row>
    <row r="461">
      <c r="L461" s="2"/>
    </row>
    <row r="462">
      <c r="L462" s="2"/>
    </row>
    <row r="463">
      <c r="L463" s="2"/>
    </row>
    <row r="464">
      <c r="L464" s="2"/>
    </row>
    <row r="465">
      <c r="L465" s="2"/>
    </row>
    <row r="466">
      <c r="L466" s="2"/>
    </row>
    <row r="467">
      <c r="L467" s="2"/>
    </row>
    <row r="468">
      <c r="L468" s="2"/>
    </row>
    <row r="469">
      <c r="L469" s="2"/>
    </row>
    <row r="470">
      <c r="L470" s="2"/>
    </row>
    <row r="471">
      <c r="L471" s="2"/>
    </row>
    <row r="472">
      <c r="L472" s="2"/>
    </row>
    <row r="473">
      <c r="L473" s="2"/>
    </row>
    <row r="474">
      <c r="L474" s="2"/>
    </row>
    <row r="475">
      <c r="L475" s="2"/>
    </row>
    <row r="476">
      <c r="L476" s="2"/>
    </row>
    <row r="477">
      <c r="L477" s="2"/>
    </row>
    <row r="478">
      <c r="L478" s="2"/>
    </row>
    <row r="479">
      <c r="L479" s="2"/>
    </row>
    <row r="480">
      <c r="L480" s="2"/>
    </row>
    <row r="481">
      <c r="L481" s="2"/>
    </row>
    <row r="482">
      <c r="L482" s="2"/>
    </row>
    <row r="483">
      <c r="L483" s="2"/>
    </row>
    <row r="484">
      <c r="L484" s="2"/>
    </row>
    <row r="485">
      <c r="L485" s="2"/>
    </row>
    <row r="486">
      <c r="L486" s="2"/>
    </row>
    <row r="487">
      <c r="L487" s="2"/>
    </row>
    <row r="488">
      <c r="L488" s="2"/>
    </row>
    <row r="489">
      <c r="L489" s="2"/>
    </row>
    <row r="490">
      <c r="L490" s="2"/>
    </row>
    <row r="491">
      <c r="L491" s="2"/>
    </row>
    <row r="492">
      <c r="L492" s="2"/>
    </row>
    <row r="493">
      <c r="L493" s="2"/>
    </row>
    <row r="494">
      <c r="L494" s="2"/>
    </row>
    <row r="495">
      <c r="L495" s="2"/>
    </row>
    <row r="496">
      <c r="L496" s="2"/>
    </row>
    <row r="497">
      <c r="L497" s="2"/>
    </row>
    <row r="498">
      <c r="L498" s="2"/>
    </row>
    <row r="499">
      <c r="L499" s="2"/>
    </row>
    <row r="500">
      <c r="L500" s="2"/>
    </row>
    <row r="501">
      <c r="L501" s="2"/>
    </row>
    <row r="502">
      <c r="L502" s="2"/>
    </row>
    <row r="503">
      <c r="L503" s="2"/>
    </row>
    <row r="504">
      <c r="L504" s="2"/>
    </row>
    <row r="505">
      <c r="L505" s="2"/>
    </row>
    <row r="506">
      <c r="L506" s="2"/>
    </row>
    <row r="507">
      <c r="L507" s="2"/>
    </row>
    <row r="508">
      <c r="L508" s="2"/>
    </row>
    <row r="509">
      <c r="L509" s="2"/>
    </row>
    <row r="510">
      <c r="L510" s="2"/>
    </row>
    <row r="511">
      <c r="L511" s="2"/>
    </row>
    <row r="512">
      <c r="L512" s="2"/>
    </row>
    <row r="513">
      <c r="L513" s="2"/>
    </row>
    <row r="514">
      <c r="L514" s="2"/>
    </row>
    <row r="515">
      <c r="L515" s="2"/>
    </row>
    <row r="516">
      <c r="L516" s="2"/>
    </row>
    <row r="517">
      <c r="L517" s="2"/>
    </row>
    <row r="518">
      <c r="L518" s="2"/>
    </row>
    <row r="519">
      <c r="L519" s="2"/>
    </row>
    <row r="520">
      <c r="L520" s="2"/>
    </row>
    <row r="521">
      <c r="L521" s="2"/>
    </row>
    <row r="522">
      <c r="L522" s="2"/>
    </row>
    <row r="523">
      <c r="L523" s="2"/>
    </row>
    <row r="524">
      <c r="L524" s="2"/>
    </row>
    <row r="525">
      <c r="L525" s="2"/>
    </row>
    <row r="526">
      <c r="L526" s="2"/>
    </row>
    <row r="527">
      <c r="L527" s="2"/>
    </row>
    <row r="528">
      <c r="L528" s="2"/>
    </row>
    <row r="529">
      <c r="L529" s="2"/>
    </row>
    <row r="530">
      <c r="L530" s="2"/>
    </row>
    <row r="531">
      <c r="L531" s="2"/>
    </row>
    <row r="532">
      <c r="L532" s="2"/>
    </row>
    <row r="533">
      <c r="L533" s="2"/>
    </row>
    <row r="534">
      <c r="L534" s="2"/>
    </row>
    <row r="535">
      <c r="L535" s="2"/>
    </row>
    <row r="536">
      <c r="L536" s="2"/>
    </row>
    <row r="537">
      <c r="L537" s="2"/>
    </row>
    <row r="538">
      <c r="L538" s="2"/>
    </row>
    <row r="539">
      <c r="L539" s="2"/>
    </row>
    <row r="540">
      <c r="L540" s="2"/>
    </row>
    <row r="541">
      <c r="L541" s="2"/>
    </row>
    <row r="542">
      <c r="L542" s="2"/>
    </row>
    <row r="543">
      <c r="L543" s="2"/>
    </row>
    <row r="544">
      <c r="L544" s="2"/>
    </row>
    <row r="545">
      <c r="L545" s="2"/>
    </row>
    <row r="546">
      <c r="L546" s="2"/>
    </row>
    <row r="547">
      <c r="L547" s="2"/>
    </row>
    <row r="548">
      <c r="L548" s="2"/>
    </row>
    <row r="549">
      <c r="L549" s="2"/>
    </row>
    <row r="550">
      <c r="L550" s="2"/>
    </row>
    <row r="551">
      <c r="L551" s="2"/>
    </row>
    <row r="552">
      <c r="L552" s="2"/>
    </row>
    <row r="553">
      <c r="L553" s="2"/>
    </row>
    <row r="554">
      <c r="L554" s="2"/>
    </row>
    <row r="555">
      <c r="L555" s="2"/>
    </row>
    <row r="556">
      <c r="L556" s="2"/>
    </row>
    <row r="557">
      <c r="L557" s="2"/>
    </row>
    <row r="558">
      <c r="L558" s="2"/>
    </row>
    <row r="559">
      <c r="L559" s="2"/>
    </row>
    <row r="560">
      <c r="L560" s="2"/>
    </row>
    <row r="561">
      <c r="L561" s="2"/>
    </row>
    <row r="562">
      <c r="L562" s="2"/>
    </row>
    <row r="563">
      <c r="L563" s="2"/>
    </row>
    <row r="564">
      <c r="L564" s="2"/>
    </row>
    <row r="565">
      <c r="L565" s="2"/>
    </row>
    <row r="566">
      <c r="L566" s="2"/>
    </row>
    <row r="567">
      <c r="L567" s="2"/>
    </row>
    <row r="568">
      <c r="L568" s="2"/>
    </row>
    <row r="569">
      <c r="L569" s="2"/>
    </row>
    <row r="570">
      <c r="L570" s="2"/>
    </row>
    <row r="571">
      <c r="L571" s="2"/>
    </row>
    <row r="572">
      <c r="L572" s="2"/>
    </row>
    <row r="573">
      <c r="L573" s="2"/>
    </row>
    <row r="574">
      <c r="L574" s="2"/>
    </row>
    <row r="575">
      <c r="L575" s="2"/>
    </row>
    <row r="576">
      <c r="L576" s="2"/>
    </row>
    <row r="577">
      <c r="L577" s="2"/>
    </row>
    <row r="578">
      <c r="L578" s="2"/>
    </row>
    <row r="579">
      <c r="L579" s="2"/>
    </row>
    <row r="580">
      <c r="L580" s="2"/>
    </row>
    <row r="581">
      <c r="L581" s="2"/>
    </row>
    <row r="582">
      <c r="L582" s="2"/>
    </row>
    <row r="583">
      <c r="L583" s="2"/>
    </row>
    <row r="584">
      <c r="L584" s="2"/>
    </row>
    <row r="585">
      <c r="L585" s="2"/>
    </row>
    <row r="586">
      <c r="L586" s="2"/>
    </row>
    <row r="587">
      <c r="L587" s="2"/>
    </row>
    <row r="588">
      <c r="L588" s="2"/>
    </row>
    <row r="589">
      <c r="L589" s="2"/>
    </row>
    <row r="590">
      <c r="L590" s="2"/>
    </row>
    <row r="591">
      <c r="L591" s="2"/>
    </row>
    <row r="592">
      <c r="L592" s="2"/>
    </row>
    <row r="593">
      <c r="L593" s="2"/>
    </row>
    <row r="594">
      <c r="L594" s="2"/>
    </row>
    <row r="595">
      <c r="L595" s="2"/>
    </row>
    <row r="596">
      <c r="L596" s="2"/>
    </row>
    <row r="597">
      <c r="L597" s="2"/>
    </row>
    <row r="598">
      <c r="L598" s="2"/>
    </row>
    <row r="599">
      <c r="L599" s="2"/>
    </row>
    <row r="600">
      <c r="L600" s="2"/>
    </row>
    <row r="601">
      <c r="L601" s="2"/>
    </row>
    <row r="602">
      <c r="L602" s="2"/>
    </row>
    <row r="603">
      <c r="L603" s="2"/>
    </row>
    <row r="604">
      <c r="L604" s="2"/>
    </row>
    <row r="605">
      <c r="L605" s="2"/>
    </row>
    <row r="606">
      <c r="L606" s="2"/>
    </row>
    <row r="607">
      <c r="L607" s="2"/>
    </row>
    <row r="608">
      <c r="L608" s="2"/>
    </row>
    <row r="609">
      <c r="L609" s="2"/>
    </row>
    <row r="610">
      <c r="L610" s="2"/>
    </row>
    <row r="611">
      <c r="L611" s="2"/>
    </row>
    <row r="612">
      <c r="L612" s="2"/>
    </row>
    <row r="613">
      <c r="L613" s="2"/>
    </row>
    <row r="614">
      <c r="L614" s="2"/>
    </row>
    <row r="615">
      <c r="L615" s="2"/>
    </row>
    <row r="616">
      <c r="L616" s="2"/>
    </row>
    <row r="617">
      <c r="L617" s="2"/>
    </row>
    <row r="618">
      <c r="L618" s="2"/>
    </row>
    <row r="619">
      <c r="L619" s="2"/>
    </row>
    <row r="620">
      <c r="L620" s="2"/>
    </row>
    <row r="621">
      <c r="L621" s="2"/>
    </row>
    <row r="622">
      <c r="L622" s="2"/>
    </row>
    <row r="623">
      <c r="L623" s="2"/>
    </row>
    <row r="624">
      <c r="L624" s="2"/>
    </row>
    <row r="625">
      <c r="L625" s="2"/>
    </row>
    <row r="626">
      <c r="L626" s="2"/>
    </row>
    <row r="627">
      <c r="L627" s="2"/>
    </row>
    <row r="628">
      <c r="L628" s="2"/>
    </row>
    <row r="629">
      <c r="L629" s="2"/>
    </row>
    <row r="630">
      <c r="L630" s="2"/>
    </row>
    <row r="631">
      <c r="L631" s="2"/>
    </row>
    <row r="632">
      <c r="L632" s="2"/>
    </row>
    <row r="633">
      <c r="L633" s="2"/>
    </row>
    <row r="634">
      <c r="L634" s="2"/>
    </row>
    <row r="635">
      <c r="L635" s="2"/>
    </row>
    <row r="636">
      <c r="L636" s="2"/>
    </row>
    <row r="637">
      <c r="L637" s="2"/>
    </row>
    <row r="638">
      <c r="L638" s="2"/>
    </row>
    <row r="639">
      <c r="L639" s="2"/>
    </row>
    <row r="640">
      <c r="L640" s="2"/>
    </row>
    <row r="641">
      <c r="L641" s="2"/>
    </row>
    <row r="642">
      <c r="L642" s="2"/>
    </row>
    <row r="643">
      <c r="L643" s="2"/>
    </row>
    <row r="644">
      <c r="L644" s="2"/>
    </row>
    <row r="645">
      <c r="L645" s="2"/>
    </row>
    <row r="646">
      <c r="L646" s="2"/>
    </row>
    <row r="647">
      <c r="L647" s="2"/>
    </row>
    <row r="648">
      <c r="L648" s="2"/>
    </row>
    <row r="649">
      <c r="L649" s="2"/>
    </row>
    <row r="650">
      <c r="L650" s="2"/>
    </row>
    <row r="651">
      <c r="L651" s="2"/>
    </row>
    <row r="652">
      <c r="L652" s="2"/>
    </row>
    <row r="653">
      <c r="L653" s="2"/>
    </row>
    <row r="654">
      <c r="L654" s="2"/>
    </row>
    <row r="655">
      <c r="L655" s="2"/>
    </row>
    <row r="656">
      <c r="L656" s="2"/>
    </row>
    <row r="657">
      <c r="L657" s="2"/>
    </row>
    <row r="658">
      <c r="L658" s="2"/>
    </row>
    <row r="659">
      <c r="L659" s="2"/>
    </row>
    <row r="660">
      <c r="L660" s="2"/>
    </row>
    <row r="661">
      <c r="L661" s="2"/>
    </row>
    <row r="662">
      <c r="L662" s="2"/>
    </row>
    <row r="663">
      <c r="L663" s="2"/>
    </row>
    <row r="664">
      <c r="L664" s="2"/>
    </row>
    <row r="665">
      <c r="L665" s="2"/>
    </row>
    <row r="666">
      <c r="L666" s="2"/>
    </row>
    <row r="667">
      <c r="L667" s="2"/>
    </row>
    <row r="668">
      <c r="L668" s="2"/>
    </row>
    <row r="669">
      <c r="L669" s="2"/>
    </row>
    <row r="670">
      <c r="L670" s="2"/>
    </row>
    <row r="671">
      <c r="L671" s="2"/>
    </row>
    <row r="672">
      <c r="L672" s="2"/>
    </row>
    <row r="673">
      <c r="L673" s="2"/>
    </row>
    <row r="674">
      <c r="L674" s="2"/>
    </row>
    <row r="675">
      <c r="L675" s="2"/>
    </row>
    <row r="676">
      <c r="L676" s="2"/>
    </row>
    <row r="677">
      <c r="L677" s="2"/>
    </row>
    <row r="678">
      <c r="L678" s="2"/>
    </row>
    <row r="679">
      <c r="L679" s="2"/>
    </row>
    <row r="680">
      <c r="L680" s="2"/>
    </row>
    <row r="681">
      <c r="L681" s="2"/>
    </row>
    <row r="682">
      <c r="L682" s="2"/>
    </row>
    <row r="683">
      <c r="L683" s="2"/>
    </row>
    <row r="684">
      <c r="L684" s="2"/>
    </row>
    <row r="685">
      <c r="L685" s="2"/>
    </row>
    <row r="686">
      <c r="L686" s="2"/>
    </row>
    <row r="687">
      <c r="L687" s="2"/>
    </row>
    <row r="688">
      <c r="L688" s="2"/>
    </row>
    <row r="689">
      <c r="L689" s="2"/>
    </row>
    <row r="690">
      <c r="L690" s="2"/>
    </row>
    <row r="691">
      <c r="L691" s="2"/>
    </row>
    <row r="692">
      <c r="L692" s="2"/>
    </row>
    <row r="693">
      <c r="L693" s="2"/>
    </row>
    <row r="694">
      <c r="L694" s="2"/>
    </row>
    <row r="695">
      <c r="L695" s="2"/>
    </row>
    <row r="696">
      <c r="L696" s="2"/>
    </row>
    <row r="697">
      <c r="L697" s="2"/>
    </row>
    <row r="698">
      <c r="L698" s="2"/>
    </row>
    <row r="699">
      <c r="L699" s="2"/>
    </row>
    <row r="700">
      <c r="L700" s="2"/>
    </row>
    <row r="701">
      <c r="L701" s="2"/>
    </row>
    <row r="702">
      <c r="L702" s="2"/>
    </row>
    <row r="703">
      <c r="L703" s="2"/>
    </row>
    <row r="704">
      <c r="L704" s="2"/>
    </row>
    <row r="705">
      <c r="L705" s="2"/>
    </row>
    <row r="706">
      <c r="L706" s="2"/>
    </row>
    <row r="707">
      <c r="L707" s="2"/>
    </row>
    <row r="708">
      <c r="L708" s="2"/>
    </row>
    <row r="709">
      <c r="L709" s="2"/>
    </row>
    <row r="710">
      <c r="L710" s="2"/>
    </row>
    <row r="711">
      <c r="L711" s="2"/>
    </row>
    <row r="712">
      <c r="L712" s="2"/>
    </row>
    <row r="713">
      <c r="L713" s="2"/>
    </row>
    <row r="714">
      <c r="L714" s="2"/>
    </row>
    <row r="715">
      <c r="L715" s="2"/>
    </row>
    <row r="716">
      <c r="L716" s="2"/>
    </row>
    <row r="717">
      <c r="L717" s="2"/>
    </row>
    <row r="718">
      <c r="L718" s="2"/>
    </row>
    <row r="719">
      <c r="L719" s="2"/>
    </row>
    <row r="720">
      <c r="L720" s="2"/>
    </row>
    <row r="721">
      <c r="L721" s="2"/>
    </row>
    <row r="722">
      <c r="L722" s="2"/>
    </row>
    <row r="723">
      <c r="L723" s="2"/>
    </row>
    <row r="724">
      <c r="L724" s="2"/>
    </row>
    <row r="725">
      <c r="L725" s="2"/>
    </row>
    <row r="726">
      <c r="L726" s="2"/>
    </row>
    <row r="727">
      <c r="L727" s="2"/>
    </row>
    <row r="728">
      <c r="L728" s="2"/>
    </row>
    <row r="729">
      <c r="L729" s="2"/>
    </row>
    <row r="730">
      <c r="L730" s="2"/>
    </row>
    <row r="731">
      <c r="L731" s="2"/>
    </row>
    <row r="732">
      <c r="L732" s="2"/>
    </row>
    <row r="733">
      <c r="L733" s="2"/>
    </row>
    <row r="734">
      <c r="L734" s="2"/>
    </row>
    <row r="735">
      <c r="L735" s="2"/>
    </row>
    <row r="736">
      <c r="L736" s="2"/>
    </row>
    <row r="737">
      <c r="L737" s="2"/>
    </row>
    <row r="738">
      <c r="L738" s="2"/>
    </row>
    <row r="739">
      <c r="L739" s="2"/>
    </row>
    <row r="740">
      <c r="L740" s="2"/>
    </row>
    <row r="741">
      <c r="L741" s="2"/>
    </row>
    <row r="742">
      <c r="L742" s="2"/>
    </row>
    <row r="743">
      <c r="L743" s="2"/>
    </row>
    <row r="744">
      <c r="L744" s="2"/>
    </row>
    <row r="745">
      <c r="L745" s="2"/>
    </row>
    <row r="746">
      <c r="L746" s="2"/>
    </row>
    <row r="747">
      <c r="L747" s="2"/>
    </row>
    <row r="748">
      <c r="L748" s="2"/>
    </row>
    <row r="749">
      <c r="L749" s="2"/>
    </row>
    <row r="750">
      <c r="L750" s="2"/>
    </row>
    <row r="751">
      <c r="L751" s="2"/>
    </row>
    <row r="752">
      <c r="L752" s="2"/>
    </row>
    <row r="753">
      <c r="L753" s="2"/>
    </row>
    <row r="754">
      <c r="L754" s="2"/>
    </row>
    <row r="755">
      <c r="L755" s="2"/>
    </row>
    <row r="756">
      <c r="L756" s="2"/>
    </row>
    <row r="757">
      <c r="L757" s="2"/>
    </row>
    <row r="758">
      <c r="L758" s="2"/>
    </row>
    <row r="759">
      <c r="L759" s="2"/>
    </row>
    <row r="760">
      <c r="L760" s="2"/>
    </row>
    <row r="761">
      <c r="L761" s="2"/>
    </row>
    <row r="762">
      <c r="L762" s="2"/>
    </row>
    <row r="763">
      <c r="L763" s="2"/>
    </row>
    <row r="764">
      <c r="L764" s="2"/>
    </row>
    <row r="765">
      <c r="L765" s="2"/>
    </row>
    <row r="766">
      <c r="L766" s="2"/>
    </row>
    <row r="767">
      <c r="L767" s="2"/>
    </row>
    <row r="768">
      <c r="L768" s="2"/>
    </row>
    <row r="769">
      <c r="L769" s="2"/>
    </row>
    <row r="770">
      <c r="L770" s="2"/>
    </row>
    <row r="771">
      <c r="L771" s="2"/>
    </row>
    <row r="772">
      <c r="L772" s="2"/>
    </row>
    <row r="773">
      <c r="L773" s="2"/>
    </row>
    <row r="774">
      <c r="L774" s="2"/>
    </row>
    <row r="775">
      <c r="L775" s="2"/>
    </row>
    <row r="776">
      <c r="L776" s="2"/>
    </row>
    <row r="777">
      <c r="L777" s="2"/>
    </row>
    <row r="778">
      <c r="L778" s="2"/>
    </row>
    <row r="779">
      <c r="L779" s="2"/>
    </row>
    <row r="780">
      <c r="L780" s="2"/>
    </row>
    <row r="781">
      <c r="L781" s="2"/>
    </row>
    <row r="782">
      <c r="L782" s="2"/>
    </row>
    <row r="783">
      <c r="L783" s="2"/>
    </row>
    <row r="784">
      <c r="L784" s="2"/>
    </row>
    <row r="785">
      <c r="L785" s="2"/>
    </row>
    <row r="786">
      <c r="L786" s="2"/>
    </row>
    <row r="787">
      <c r="L787" s="2"/>
    </row>
    <row r="788">
      <c r="L788" s="2"/>
    </row>
    <row r="789">
      <c r="L789" s="2"/>
    </row>
    <row r="790">
      <c r="L790" s="2"/>
    </row>
    <row r="791">
      <c r="L791" s="2"/>
    </row>
    <row r="792">
      <c r="L792" s="2"/>
    </row>
    <row r="793">
      <c r="L793" s="2"/>
    </row>
    <row r="794">
      <c r="L794" s="2"/>
    </row>
    <row r="795">
      <c r="L795" s="2"/>
    </row>
    <row r="796">
      <c r="L796" s="2"/>
    </row>
    <row r="797">
      <c r="L797" s="2"/>
    </row>
    <row r="798">
      <c r="L798" s="2"/>
    </row>
    <row r="799">
      <c r="L799" s="2"/>
    </row>
    <row r="800">
      <c r="L800" s="2"/>
    </row>
    <row r="801">
      <c r="L801" s="2"/>
    </row>
    <row r="802">
      <c r="L802" s="2"/>
    </row>
    <row r="803">
      <c r="L803" s="2"/>
    </row>
    <row r="804">
      <c r="L804" s="2"/>
    </row>
    <row r="805">
      <c r="L805" s="2"/>
    </row>
    <row r="806">
      <c r="L806" s="2"/>
    </row>
    <row r="807">
      <c r="L807" s="2"/>
    </row>
    <row r="808">
      <c r="L808" s="2"/>
    </row>
    <row r="809">
      <c r="L809" s="2"/>
    </row>
    <row r="810">
      <c r="L810" s="2"/>
    </row>
    <row r="811">
      <c r="L811" s="2"/>
    </row>
    <row r="812">
      <c r="L812" s="2"/>
    </row>
    <row r="813">
      <c r="L813" s="2"/>
    </row>
    <row r="814">
      <c r="L814" s="2"/>
    </row>
    <row r="815">
      <c r="L815" s="2"/>
    </row>
    <row r="816">
      <c r="L816" s="2"/>
    </row>
    <row r="817">
      <c r="L817" s="2"/>
    </row>
    <row r="818">
      <c r="L818" s="2"/>
    </row>
    <row r="819">
      <c r="L819" s="2"/>
    </row>
    <row r="820">
      <c r="L820" s="2"/>
    </row>
    <row r="821">
      <c r="L821" s="2"/>
    </row>
    <row r="822">
      <c r="L822" s="2"/>
    </row>
    <row r="823">
      <c r="L823" s="2"/>
    </row>
    <row r="824">
      <c r="L824" s="2"/>
    </row>
    <row r="825">
      <c r="L825" s="2"/>
    </row>
    <row r="826">
      <c r="L826" s="2"/>
    </row>
    <row r="827">
      <c r="L827" s="2"/>
    </row>
    <row r="828">
      <c r="L828" s="2"/>
    </row>
    <row r="829">
      <c r="L829" s="2"/>
    </row>
    <row r="830">
      <c r="L830" s="2"/>
    </row>
    <row r="831">
      <c r="L831" s="2"/>
    </row>
    <row r="832">
      <c r="L832" s="2"/>
    </row>
    <row r="833">
      <c r="L833" s="2"/>
    </row>
    <row r="834">
      <c r="L834" s="2"/>
    </row>
    <row r="835">
      <c r="L835" s="2"/>
    </row>
    <row r="836">
      <c r="L836" s="2"/>
    </row>
    <row r="837">
      <c r="L837" s="2"/>
    </row>
    <row r="838">
      <c r="L838" s="2"/>
    </row>
    <row r="839">
      <c r="L839" s="2"/>
    </row>
    <row r="840">
      <c r="L840" s="2"/>
    </row>
    <row r="841">
      <c r="L841" s="2"/>
    </row>
    <row r="842">
      <c r="L842" s="2"/>
    </row>
    <row r="843">
      <c r="L843" s="2"/>
    </row>
    <row r="844">
      <c r="L844" s="2"/>
    </row>
    <row r="845">
      <c r="L845" s="2"/>
    </row>
    <row r="846">
      <c r="L846" s="2"/>
    </row>
    <row r="847">
      <c r="L847" s="2"/>
    </row>
    <row r="848">
      <c r="L848" s="2"/>
    </row>
    <row r="849">
      <c r="L849" s="2"/>
    </row>
    <row r="850">
      <c r="L850" s="2"/>
    </row>
    <row r="851">
      <c r="L851" s="2"/>
    </row>
    <row r="852">
      <c r="L852" s="2"/>
    </row>
    <row r="853">
      <c r="L853" s="2"/>
    </row>
    <row r="854">
      <c r="L854" s="2"/>
    </row>
    <row r="855">
      <c r="L855" s="2"/>
    </row>
    <row r="856">
      <c r="L856" s="2"/>
    </row>
    <row r="857">
      <c r="L857" s="2"/>
    </row>
    <row r="858">
      <c r="L858" s="2"/>
    </row>
    <row r="859">
      <c r="L859" s="2"/>
    </row>
    <row r="860">
      <c r="L860" s="2"/>
    </row>
    <row r="861">
      <c r="L861" s="2"/>
    </row>
    <row r="862">
      <c r="L862" s="2"/>
    </row>
    <row r="863">
      <c r="L863" s="2"/>
    </row>
    <row r="864">
      <c r="L864" s="2"/>
    </row>
    <row r="865">
      <c r="L865" s="2"/>
    </row>
    <row r="866">
      <c r="L866" s="2"/>
    </row>
    <row r="867">
      <c r="L867" s="2"/>
    </row>
    <row r="868">
      <c r="L868" s="2"/>
    </row>
    <row r="869">
      <c r="L869" s="2"/>
    </row>
    <row r="870">
      <c r="L870" s="2"/>
    </row>
    <row r="871">
      <c r="L871" s="2"/>
    </row>
    <row r="872">
      <c r="L872" s="2"/>
    </row>
    <row r="873">
      <c r="L873" s="2"/>
    </row>
    <row r="874">
      <c r="L874" s="2"/>
    </row>
    <row r="875">
      <c r="L875" s="2"/>
    </row>
    <row r="876">
      <c r="L876" s="2"/>
    </row>
    <row r="877">
      <c r="L877" s="2"/>
    </row>
    <row r="878">
      <c r="L878" s="2"/>
    </row>
    <row r="879">
      <c r="L879" s="2"/>
    </row>
    <row r="880">
      <c r="L880" s="2"/>
    </row>
    <row r="881">
      <c r="L881" s="2"/>
    </row>
    <row r="882">
      <c r="L882" s="2"/>
    </row>
    <row r="883">
      <c r="L883" s="2"/>
    </row>
    <row r="884">
      <c r="L884" s="2"/>
    </row>
    <row r="885">
      <c r="L885" s="2"/>
    </row>
    <row r="886">
      <c r="L886" s="2"/>
    </row>
    <row r="887">
      <c r="L887" s="2"/>
    </row>
    <row r="888">
      <c r="L888" s="2"/>
    </row>
    <row r="889">
      <c r="L889" s="2"/>
    </row>
    <row r="890">
      <c r="L890" s="2"/>
    </row>
    <row r="891">
      <c r="L891" s="2"/>
    </row>
    <row r="892">
      <c r="L892" s="2"/>
    </row>
    <row r="893">
      <c r="L893" s="2"/>
    </row>
    <row r="894">
      <c r="L894" s="2"/>
    </row>
    <row r="895">
      <c r="L895" s="2"/>
    </row>
    <row r="896">
      <c r="L896" s="2"/>
    </row>
    <row r="897">
      <c r="L897" s="2"/>
    </row>
    <row r="898">
      <c r="L898" s="2"/>
    </row>
    <row r="899">
      <c r="L899" s="2"/>
    </row>
    <row r="900">
      <c r="L900" s="2"/>
    </row>
    <row r="901">
      <c r="L901" s="2"/>
    </row>
    <row r="902">
      <c r="L902" s="2"/>
    </row>
    <row r="903">
      <c r="L903" s="2"/>
    </row>
    <row r="904">
      <c r="L904" s="2"/>
    </row>
    <row r="905">
      <c r="L905" s="2"/>
    </row>
    <row r="906">
      <c r="L906" s="2"/>
    </row>
    <row r="907">
      <c r="L907" s="2"/>
    </row>
    <row r="908">
      <c r="L908" s="2"/>
    </row>
    <row r="909">
      <c r="L909" s="2"/>
    </row>
    <row r="910">
      <c r="L910" s="2"/>
    </row>
    <row r="911">
      <c r="L911" s="2"/>
    </row>
    <row r="912">
      <c r="L912" s="2"/>
    </row>
    <row r="913">
      <c r="L913" s="2"/>
    </row>
    <row r="914">
      <c r="L914" s="2"/>
    </row>
    <row r="915">
      <c r="L915" s="2"/>
    </row>
    <row r="916">
      <c r="L916" s="2"/>
    </row>
    <row r="917">
      <c r="L917" s="2"/>
    </row>
    <row r="918">
      <c r="L918" s="2"/>
    </row>
    <row r="919">
      <c r="L919" s="2"/>
    </row>
    <row r="920">
      <c r="L920" s="2"/>
    </row>
    <row r="921">
      <c r="L921" s="2"/>
    </row>
    <row r="922">
      <c r="L922" s="2"/>
    </row>
    <row r="923">
      <c r="L923" s="2"/>
    </row>
    <row r="924">
      <c r="L924" s="2"/>
    </row>
    <row r="925">
      <c r="L925" s="2"/>
    </row>
    <row r="926">
      <c r="L926" s="2"/>
    </row>
    <row r="927">
      <c r="L927" s="2"/>
    </row>
    <row r="928">
      <c r="L928" s="2"/>
    </row>
    <row r="929">
      <c r="L929" s="2"/>
    </row>
    <row r="930">
      <c r="L930" s="2"/>
    </row>
    <row r="931">
      <c r="L931" s="2"/>
    </row>
    <row r="932">
      <c r="L932" s="2"/>
    </row>
    <row r="933">
      <c r="L933" s="2"/>
    </row>
    <row r="934">
      <c r="L934" s="2"/>
    </row>
    <row r="935">
      <c r="L935" s="2"/>
    </row>
    <row r="936">
      <c r="L936" s="2"/>
    </row>
    <row r="937">
      <c r="L937" s="2"/>
    </row>
    <row r="938">
      <c r="L938" s="2"/>
    </row>
    <row r="939">
      <c r="L939" s="2"/>
    </row>
    <row r="940">
      <c r="L940" s="2"/>
    </row>
    <row r="941">
      <c r="L941" s="2"/>
    </row>
    <row r="942">
      <c r="L942" s="2"/>
    </row>
    <row r="943">
      <c r="L943" s="2"/>
    </row>
    <row r="944">
      <c r="L944" s="2"/>
    </row>
    <row r="945">
      <c r="L945" s="2"/>
    </row>
    <row r="946">
      <c r="L946" s="2"/>
    </row>
    <row r="947">
      <c r="L947" s="2"/>
    </row>
    <row r="948">
      <c r="L948" s="2"/>
    </row>
    <row r="949">
      <c r="L949" s="2"/>
    </row>
    <row r="950">
      <c r="L950" s="2"/>
    </row>
    <row r="951">
      <c r="L951" s="2"/>
    </row>
    <row r="952">
      <c r="L952" s="2"/>
    </row>
    <row r="953">
      <c r="L953" s="2"/>
    </row>
    <row r="954">
      <c r="L954" s="2"/>
    </row>
    <row r="955">
      <c r="L955" s="2"/>
    </row>
    <row r="956">
      <c r="L956" s="2"/>
    </row>
    <row r="957">
      <c r="L957" s="2"/>
    </row>
    <row r="958">
      <c r="L958" s="2"/>
    </row>
    <row r="959">
      <c r="L959" s="2"/>
    </row>
    <row r="960">
      <c r="L960" s="2"/>
    </row>
    <row r="961">
      <c r="L961" s="2"/>
    </row>
    <row r="962">
      <c r="L962" s="2"/>
    </row>
    <row r="963">
      <c r="L963" s="2"/>
    </row>
    <row r="964">
      <c r="L964" s="2"/>
    </row>
    <row r="965">
      <c r="L965" s="2"/>
    </row>
    <row r="966">
      <c r="L966" s="2"/>
    </row>
    <row r="967">
      <c r="L967" s="2"/>
    </row>
    <row r="968">
      <c r="L968" s="2"/>
    </row>
    <row r="969">
      <c r="L969" s="2"/>
    </row>
    <row r="970">
      <c r="L970" s="2"/>
    </row>
    <row r="971">
      <c r="L971" s="2"/>
    </row>
    <row r="972">
      <c r="L972" s="2"/>
    </row>
    <row r="973">
      <c r="L973" s="2"/>
    </row>
    <row r="974">
      <c r="L974" s="2"/>
    </row>
    <row r="975">
      <c r="L975" s="2"/>
    </row>
    <row r="976">
      <c r="L976" s="2"/>
    </row>
    <row r="977">
      <c r="L977" s="2"/>
    </row>
    <row r="978">
      <c r="L978" s="2"/>
    </row>
    <row r="979">
      <c r="L979" s="2"/>
    </row>
    <row r="980">
      <c r="L980" s="2"/>
    </row>
    <row r="981">
      <c r="L981" s="2"/>
    </row>
    <row r="982">
      <c r="L982" s="2"/>
    </row>
    <row r="983">
      <c r="L983" s="2"/>
    </row>
    <row r="984">
      <c r="L984" s="2"/>
    </row>
    <row r="985">
      <c r="L985" s="2"/>
    </row>
    <row r="986">
      <c r="L986" s="2"/>
    </row>
    <row r="987">
      <c r="L987" s="2"/>
    </row>
    <row r="988">
      <c r="L988" s="2"/>
    </row>
    <row r="989">
      <c r="L989" s="2"/>
    </row>
    <row r="990">
      <c r="L990" s="2"/>
    </row>
    <row r="991">
      <c r="L991" s="2"/>
    </row>
    <row r="992">
      <c r="L992" s="2"/>
    </row>
    <row r="993">
      <c r="L993" s="2"/>
    </row>
    <row r="994">
      <c r="L994" s="2"/>
    </row>
    <row r="995">
      <c r="L995" s="2"/>
    </row>
    <row r="996">
      <c r="L996" s="2"/>
    </row>
    <row r="997">
      <c r="L997" s="2"/>
    </row>
    <row r="998">
      <c r="L998" s="2"/>
    </row>
    <row r="999">
      <c r="L999" s="2"/>
    </row>
    <row r="1000">
      <c r="L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17.13"/>
    <col customWidth="1" min="22" max="22" width="17.5"/>
    <col customWidth="1" min="23" max="23" width="18.88"/>
  </cols>
  <sheetData>
    <row r="1">
      <c r="A1" s="6"/>
      <c r="O1" s="8"/>
    </row>
    <row r="2">
      <c r="A2" s="6"/>
      <c r="O2" s="8"/>
    </row>
    <row r="3">
      <c r="A3" s="6"/>
      <c r="O3" s="8"/>
    </row>
    <row r="4">
      <c r="A4" s="6"/>
      <c r="O4" s="8"/>
    </row>
    <row r="5">
      <c r="A5" s="6" t="s">
        <v>17</v>
      </c>
      <c r="O5" s="8"/>
    </row>
    <row r="6">
      <c r="O6" s="8"/>
    </row>
    <row r="7">
      <c r="A7" s="6"/>
      <c r="I7" s="6"/>
      <c r="O7" s="12"/>
    </row>
    <row r="8">
      <c r="A8" s="6"/>
      <c r="I8" s="6"/>
      <c r="O8" s="12"/>
    </row>
    <row r="9">
      <c r="A9" s="6"/>
      <c r="I9" s="6"/>
      <c r="O9" s="12"/>
    </row>
    <row r="10">
      <c r="A10" s="6"/>
      <c r="I10" s="1" t="s">
        <v>29</v>
      </c>
      <c r="O10" s="12"/>
    </row>
    <row r="11">
      <c r="A11" s="6" t="s">
        <v>31</v>
      </c>
      <c r="I11" s="6" t="s">
        <v>32</v>
      </c>
      <c r="O11" s="12" t="s">
        <v>33</v>
      </c>
      <c r="Y11" s="6" t="s">
        <v>34</v>
      </c>
      <c r="Z11" s="6"/>
      <c r="AA11" s="6"/>
      <c r="AB11" s="6"/>
      <c r="AC11" s="6"/>
      <c r="AD11" s="6"/>
      <c r="AE11" s="6"/>
      <c r="AF11" s="6"/>
    </row>
    <row r="12">
      <c r="A12" s="17" t="s">
        <v>35</v>
      </c>
      <c r="B12" s="17" t="s">
        <v>37</v>
      </c>
      <c r="C12" s="17" t="s">
        <v>38</v>
      </c>
      <c r="D12" s="17" t="s">
        <v>39</v>
      </c>
      <c r="E12" s="17" t="s">
        <v>40</v>
      </c>
      <c r="F12" s="18" t="s">
        <v>41</v>
      </c>
      <c r="G12" s="17" t="s">
        <v>42</v>
      </c>
      <c r="O12" s="19" t="s">
        <v>43</v>
      </c>
      <c r="P12" s="20" t="s">
        <v>44</v>
      </c>
      <c r="Q12" s="21" t="s">
        <v>45</v>
      </c>
      <c r="R12" s="20" t="s">
        <v>46</v>
      </c>
      <c r="S12" s="21" t="s">
        <v>48</v>
      </c>
      <c r="T12" s="21" t="s">
        <v>49</v>
      </c>
      <c r="U12" s="21" t="s">
        <v>50</v>
      </c>
      <c r="V12" s="22" t="s">
        <v>51</v>
      </c>
      <c r="W12" s="22" t="s">
        <v>53</v>
      </c>
    </row>
    <row r="13">
      <c r="A13" s="23" t="s">
        <v>55</v>
      </c>
      <c r="B13" s="23" t="s">
        <v>56</v>
      </c>
      <c r="C13" s="24" t="s">
        <v>58</v>
      </c>
      <c r="D13" s="25">
        <v>9640000.0</v>
      </c>
      <c r="E13" s="26">
        <v>1.0</v>
      </c>
      <c r="F13" s="27">
        <v>25.0</v>
      </c>
      <c r="G13" s="28">
        <v>25.0</v>
      </c>
      <c r="O13" s="29">
        <v>46305.0</v>
      </c>
      <c r="P13" s="30" t="s">
        <v>63</v>
      </c>
      <c r="Q13" s="31" t="s">
        <v>64</v>
      </c>
      <c r="R13" s="32">
        <v>669000.0</v>
      </c>
      <c r="S13" s="30">
        <v>3.0</v>
      </c>
      <c r="T13" s="33">
        <f t="shared" ref="T13:T117" si="1">if(P13="CASIO", 22%, 30%)</f>
        <v>0.22</v>
      </c>
      <c r="U13" s="34">
        <f t="shared" ref="U13:U117" si="2">T13+1%</f>
        <v>0.23</v>
      </c>
      <c r="V13" s="35">
        <f t="shared" ref="V13:V117" si="3">R13-R13*T13</f>
        <v>521820</v>
      </c>
      <c r="W13" s="35">
        <f t="shared" ref="W13:W117" si="4">R13-R13*U13</f>
        <v>515130</v>
      </c>
    </row>
    <row r="14">
      <c r="A14" s="23" t="s">
        <v>55</v>
      </c>
      <c r="B14" s="23" t="s">
        <v>56</v>
      </c>
      <c r="C14" s="24" t="s">
        <v>68</v>
      </c>
      <c r="D14" s="25">
        <v>1.206E7</v>
      </c>
      <c r="E14" s="26">
        <v>1.0</v>
      </c>
      <c r="F14" s="27">
        <v>25.0</v>
      </c>
      <c r="G14" s="28">
        <v>25.0</v>
      </c>
      <c r="O14" s="36"/>
      <c r="P14" s="30" t="s">
        <v>63</v>
      </c>
      <c r="Q14" s="31" t="s">
        <v>69</v>
      </c>
      <c r="R14" s="37">
        <v>419000.0</v>
      </c>
      <c r="S14" s="30">
        <v>3.0</v>
      </c>
      <c r="T14" s="33">
        <f t="shared" si="1"/>
        <v>0.22</v>
      </c>
      <c r="U14" s="34">
        <f t="shared" si="2"/>
        <v>0.23</v>
      </c>
      <c r="V14" s="35">
        <f t="shared" si="3"/>
        <v>326820</v>
      </c>
      <c r="W14" s="35">
        <f t="shared" si="4"/>
        <v>322630</v>
      </c>
    </row>
    <row r="15">
      <c r="A15" s="23" t="s">
        <v>55</v>
      </c>
      <c r="B15" s="23" t="s">
        <v>56</v>
      </c>
      <c r="C15" s="24" t="s">
        <v>71</v>
      </c>
      <c r="D15" s="25">
        <v>1.206E7</v>
      </c>
      <c r="E15" s="26">
        <v>1.0</v>
      </c>
      <c r="F15" s="27">
        <v>25.0</v>
      </c>
      <c r="G15" s="28">
        <v>25.0</v>
      </c>
      <c r="O15" s="36"/>
      <c r="P15" s="30" t="s">
        <v>63</v>
      </c>
      <c r="Q15" s="31" t="s">
        <v>72</v>
      </c>
      <c r="R15" s="37">
        <v>819000.0</v>
      </c>
      <c r="S15" s="30">
        <v>3.0</v>
      </c>
      <c r="T15" s="33">
        <f t="shared" si="1"/>
        <v>0.22</v>
      </c>
      <c r="U15" s="34">
        <f t="shared" si="2"/>
        <v>0.23</v>
      </c>
      <c r="V15" s="35">
        <f t="shared" si="3"/>
        <v>638820</v>
      </c>
      <c r="W15" s="35">
        <f t="shared" si="4"/>
        <v>630630</v>
      </c>
    </row>
    <row r="16">
      <c r="A16" s="23" t="s">
        <v>55</v>
      </c>
      <c r="B16" s="23" t="s">
        <v>56</v>
      </c>
      <c r="C16" s="24" t="s">
        <v>74</v>
      </c>
      <c r="D16" s="25">
        <v>1.109E7</v>
      </c>
      <c r="E16" s="26">
        <v>1.0</v>
      </c>
      <c r="F16" s="27">
        <v>25.0</v>
      </c>
      <c r="G16" s="28">
        <v>25.0</v>
      </c>
      <c r="O16" s="36"/>
      <c r="P16" s="30" t="s">
        <v>63</v>
      </c>
      <c r="Q16" s="31" t="s">
        <v>76</v>
      </c>
      <c r="R16" s="37">
        <v>559000.0</v>
      </c>
      <c r="S16" s="30">
        <v>3.0</v>
      </c>
      <c r="T16" s="33">
        <f t="shared" si="1"/>
        <v>0.22</v>
      </c>
      <c r="U16" s="34">
        <f t="shared" si="2"/>
        <v>0.23</v>
      </c>
      <c r="V16" s="35">
        <f t="shared" si="3"/>
        <v>436020</v>
      </c>
      <c r="W16" s="35">
        <f t="shared" si="4"/>
        <v>430430</v>
      </c>
    </row>
    <row r="17">
      <c r="A17" s="23" t="s">
        <v>55</v>
      </c>
      <c r="B17" s="23" t="s">
        <v>56</v>
      </c>
      <c r="C17" s="24" t="s">
        <v>77</v>
      </c>
      <c r="D17" s="25">
        <v>1.081E7</v>
      </c>
      <c r="E17" s="26">
        <v>1.0</v>
      </c>
      <c r="F17" s="27">
        <v>25.0</v>
      </c>
      <c r="G17" s="28">
        <v>25.0</v>
      </c>
      <c r="O17" s="38"/>
      <c r="P17" s="30" t="s">
        <v>63</v>
      </c>
      <c r="Q17" s="31" t="s">
        <v>78</v>
      </c>
      <c r="R17" s="37">
        <v>879000.0</v>
      </c>
      <c r="S17" s="30">
        <v>3.0</v>
      </c>
      <c r="T17" s="33">
        <f t="shared" si="1"/>
        <v>0.22</v>
      </c>
      <c r="U17" s="34">
        <f t="shared" si="2"/>
        <v>0.23</v>
      </c>
      <c r="V17" s="35">
        <f t="shared" si="3"/>
        <v>685620</v>
      </c>
      <c r="W17" s="35">
        <f t="shared" si="4"/>
        <v>676830</v>
      </c>
    </row>
    <row r="18">
      <c r="A18" s="23" t="s">
        <v>55</v>
      </c>
      <c r="B18" s="23" t="s">
        <v>56</v>
      </c>
      <c r="C18" s="24" t="s">
        <v>79</v>
      </c>
      <c r="D18" s="25">
        <v>8810000.0</v>
      </c>
      <c r="E18" s="26">
        <v>1.0</v>
      </c>
      <c r="F18" s="27">
        <v>25.0</v>
      </c>
      <c r="G18" s="28">
        <v>25.0</v>
      </c>
      <c r="O18" s="29">
        <v>46306.0</v>
      </c>
      <c r="P18" s="39" t="s">
        <v>63</v>
      </c>
      <c r="Q18" s="31" t="s">
        <v>80</v>
      </c>
      <c r="R18" s="32">
        <v>299000.0</v>
      </c>
      <c r="S18" s="30">
        <v>3.0</v>
      </c>
      <c r="T18" s="33">
        <f t="shared" si="1"/>
        <v>0.22</v>
      </c>
      <c r="U18" s="34">
        <f t="shared" si="2"/>
        <v>0.23</v>
      </c>
      <c r="V18" s="35">
        <f t="shared" si="3"/>
        <v>233220</v>
      </c>
      <c r="W18" s="35">
        <f t="shared" si="4"/>
        <v>230230</v>
      </c>
    </row>
    <row r="19">
      <c r="A19" s="23" t="s">
        <v>55</v>
      </c>
      <c r="B19" s="23" t="s">
        <v>56</v>
      </c>
      <c r="C19" s="24" t="s">
        <v>81</v>
      </c>
      <c r="D19" s="25">
        <v>1.07E7</v>
      </c>
      <c r="E19" s="26">
        <v>1.0</v>
      </c>
      <c r="F19" s="27">
        <v>25.0</v>
      </c>
      <c r="G19" s="28">
        <v>25.0</v>
      </c>
      <c r="O19" s="36"/>
      <c r="P19" s="40" t="s">
        <v>63</v>
      </c>
      <c r="Q19" s="31" t="s">
        <v>82</v>
      </c>
      <c r="R19" s="37">
        <v>589000.0</v>
      </c>
      <c r="S19" s="30">
        <v>3.0</v>
      </c>
      <c r="T19" s="33">
        <f t="shared" si="1"/>
        <v>0.22</v>
      </c>
      <c r="U19" s="34">
        <f t="shared" si="2"/>
        <v>0.23</v>
      </c>
      <c r="V19" s="35">
        <f t="shared" si="3"/>
        <v>459420</v>
      </c>
      <c r="W19" s="35">
        <f t="shared" si="4"/>
        <v>453530</v>
      </c>
    </row>
    <row r="20">
      <c r="A20" s="23" t="s">
        <v>55</v>
      </c>
      <c r="B20" s="23" t="s">
        <v>56</v>
      </c>
      <c r="C20" s="24" t="s">
        <v>83</v>
      </c>
      <c r="D20" s="25">
        <v>9390000.0</v>
      </c>
      <c r="E20" s="26">
        <v>1.0</v>
      </c>
      <c r="F20" s="27">
        <v>25.0</v>
      </c>
      <c r="G20" s="28">
        <v>25.0</v>
      </c>
      <c r="O20" s="36"/>
      <c r="P20" s="40" t="s">
        <v>63</v>
      </c>
      <c r="Q20" s="31" t="s">
        <v>84</v>
      </c>
      <c r="R20" s="37">
        <v>749000.0</v>
      </c>
      <c r="S20" s="30">
        <v>3.0</v>
      </c>
      <c r="T20" s="33">
        <f t="shared" si="1"/>
        <v>0.22</v>
      </c>
      <c r="U20" s="34">
        <f t="shared" si="2"/>
        <v>0.23</v>
      </c>
      <c r="V20" s="35">
        <f t="shared" si="3"/>
        <v>584220</v>
      </c>
      <c r="W20" s="35">
        <f t="shared" si="4"/>
        <v>576730</v>
      </c>
    </row>
    <row r="21">
      <c r="A21" s="23" t="s">
        <v>55</v>
      </c>
      <c r="B21" s="23" t="s">
        <v>56</v>
      </c>
      <c r="C21" s="24" t="s">
        <v>85</v>
      </c>
      <c r="D21" s="25">
        <v>9880000.0</v>
      </c>
      <c r="E21" s="26">
        <v>1.0</v>
      </c>
      <c r="F21" s="27">
        <v>25.0</v>
      </c>
      <c r="G21" s="28">
        <v>25.0</v>
      </c>
      <c r="O21" s="36"/>
      <c r="P21" s="39" t="s">
        <v>63</v>
      </c>
      <c r="Q21" s="31" t="s">
        <v>86</v>
      </c>
      <c r="R21" s="32">
        <v>419000.0</v>
      </c>
      <c r="S21" s="30">
        <v>3.0</v>
      </c>
      <c r="T21" s="33">
        <f t="shared" si="1"/>
        <v>0.22</v>
      </c>
      <c r="U21" s="34">
        <f t="shared" si="2"/>
        <v>0.23</v>
      </c>
      <c r="V21" s="35">
        <f t="shared" si="3"/>
        <v>326820</v>
      </c>
      <c r="W21" s="35">
        <f t="shared" si="4"/>
        <v>322630</v>
      </c>
    </row>
    <row r="22">
      <c r="A22" s="23" t="s">
        <v>55</v>
      </c>
      <c r="B22" s="23" t="s">
        <v>56</v>
      </c>
      <c r="C22" s="24" t="s">
        <v>87</v>
      </c>
      <c r="D22" s="25">
        <v>9880000.0</v>
      </c>
      <c r="E22" s="26">
        <v>2.0</v>
      </c>
      <c r="F22" s="27">
        <v>25.0</v>
      </c>
      <c r="G22" s="28">
        <v>25.0</v>
      </c>
      <c r="O22" s="38"/>
      <c r="P22" s="40" t="s">
        <v>88</v>
      </c>
      <c r="Q22" s="31" t="s">
        <v>89</v>
      </c>
      <c r="R22" s="37">
        <v>1279000.0</v>
      </c>
      <c r="S22" s="30">
        <v>3.0</v>
      </c>
      <c r="T22" s="33">
        <f t="shared" si="1"/>
        <v>0.3</v>
      </c>
      <c r="U22" s="34">
        <f t="shared" si="2"/>
        <v>0.31</v>
      </c>
      <c r="V22" s="35">
        <f t="shared" si="3"/>
        <v>895300</v>
      </c>
      <c r="W22" s="35">
        <f t="shared" si="4"/>
        <v>882510</v>
      </c>
    </row>
    <row r="23">
      <c r="A23" s="23" t="s">
        <v>55</v>
      </c>
      <c r="B23" s="23" t="s">
        <v>56</v>
      </c>
      <c r="C23" s="24" t="s">
        <v>90</v>
      </c>
      <c r="D23" s="25">
        <v>1.07E7</v>
      </c>
      <c r="E23" s="26">
        <v>4.0</v>
      </c>
      <c r="F23" s="27">
        <v>25.0</v>
      </c>
      <c r="G23" s="28">
        <v>25.0</v>
      </c>
      <c r="O23" s="29">
        <v>46307.0</v>
      </c>
      <c r="P23" s="39" t="s">
        <v>63</v>
      </c>
      <c r="Q23" s="31" t="s">
        <v>91</v>
      </c>
      <c r="R23" s="32">
        <v>659000.0</v>
      </c>
      <c r="S23" s="30">
        <v>3.0</v>
      </c>
      <c r="T23" s="33">
        <f t="shared" si="1"/>
        <v>0.22</v>
      </c>
      <c r="U23" s="34">
        <f t="shared" si="2"/>
        <v>0.23</v>
      </c>
      <c r="V23" s="35">
        <f t="shared" si="3"/>
        <v>514020</v>
      </c>
      <c r="W23" s="35">
        <f t="shared" si="4"/>
        <v>507430</v>
      </c>
    </row>
    <row r="24">
      <c r="A24" s="23" t="s">
        <v>55</v>
      </c>
      <c r="B24" s="23" t="s">
        <v>56</v>
      </c>
      <c r="C24" s="24" t="s">
        <v>92</v>
      </c>
      <c r="D24" s="25">
        <v>9880000.0</v>
      </c>
      <c r="E24" s="26">
        <v>1.0</v>
      </c>
      <c r="F24" s="27">
        <v>25.0</v>
      </c>
      <c r="G24" s="28">
        <v>25.0</v>
      </c>
      <c r="O24" s="36"/>
      <c r="P24" s="40" t="s">
        <v>63</v>
      </c>
      <c r="Q24" s="31" t="s">
        <v>93</v>
      </c>
      <c r="R24" s="37">
        <v>559000.0</v>
      </c>
      <c r="S24" s="30">
        <v>3.0</v>
      </c>
      <c r="T24" s="33">
        <f t="shared" si="1"/>
        <v>0.22</v>
      </c>
      <c r="U24" s="34">
        <f t="shared" si="2"/>
        <v>0.23</v>
      </c>
      <c r="V24" s="35">
        <f t="shared" si="3"/>
        <v>436020</v>
      </c>
      <c r="W24" s="35">
        <f t="shared" si="4"/>
        <v>430430</v>
      </c>
    </row>
    <row r="25">
      <c r="A25" s="23" t="s">
        <v>55</v>
      </c>
      <c r="B25" s="23" t="s">
        <v>56</v>
      </c>
      <c r="C25" s="24" t="s">
        <v>94</v>
      </c>
      <c r="D25" s="25">
        <v>1.429E7</v>
      </c>
      <c r="E25" s="26">
        <v>1.0</v>
      </c>
      <c r="F25" s="27">
        <v>40.0</v>
      </c>
      <c r="G25" s="28">
        <v>35.0</v>
      </c>
      <c r="O25" s="36"/>
      <c r="P25" s="39" t="s">
        <v>63</v>
      </c>
      <c r="Q25" s="31" t="s">
        <v>95</v>
      </c>
      <c r="R25" s="32">
        <v>1039000.0</v>
      </c>
      <c r="S25" s="30">
        <v>3.0</v>
      </c>
      <c r="T25" s="33">
        <f t="shared" si="1"/>
        <v>0.22</v>
      </c>
      <c r="U25" s="34">
        <f t="shared" si="2"/>
        <v>0.23</v>
      </c>
      <c r="V25" s="35">
        <f t="shared" si="3"/>
        <v>810420</v>
      </c>
      <c r="W25" s="35">
        <f t="shared" si="4"/>
        <v>800030</v>
      </c>
    </row>
    <row r="26">
      <c r="A26" s="23" t="s">
        <v>55</v>
      </c>
      <c r="B26" s="23" t="s">
        <v>56</v>
      </c>
      <c r="C26" s="24" t="s">
        <v>96</v>
      </c>
      <c r="D26" s="25">
        <v>1.239E7</v>
      </c>
      <c r="E26" s="26">
        <v>1.0</v>
      </c>
      <c r="F26" s="27">
        <v>40.0</v>
      </c>
      <c r="G26" s="28">
        <v>35.0</v>
      </c>
      <c r="O26" s="36"/>
      <c r="P26" s="40" t="s">
        <v>63</v>
      </c>
      <c r="Q26" s="31" t="s">
        <v>97</v>
      </c>
      <c r="R26" s="37">
        <v>309000.0</v>
      </c>
      <c r="S26" s="30">
        <v>3.0</v>
      </c>
      <c r="T26" s="33">
        <f t="shared" si="1"/>
        <v>0.22</v>
      </c>
      <c r="U26" s="34">
        <f t="shared" si="2"/>
        <v>0.23</v>
      </c>
      <c r="V26" s="35">
        <f t="shared" si="3"/>
        <v>241020</v>
      </c>
      <c r="W26" s="35">
        <f t="shared" si="4"/>
        <v>237930</v>
      </c>
    </row>
    <row r="27">
      <c r="A27" s="23" t="s">
        <v>55</v>
      </c>
      <c r="B27" s="23" t="s">
        <v>98</v>
      </c>
      <c r="C27" s="24" t="s">
        <v>99</v>
      </c>
      <c r="D27" s="26">
        <v>900.0</v>
      </c>
      <c r="E27" s="26">
        <v>1.0</v>
      </c>
      <c r="F27" s="27">
        <v>35.0</v>
      </c>
      <c r="G27" s="28">
        <v>25.0</v>
      </c>
      <c r="O27" s="38"/>
      <c r="P27" s="40" t="s">
        <v>63</v>
      </c>
      <c r="Q27" s="31" t="s">
        <v>100</v>
      </c>
      <c r="R27" s="37">
        <v>669000.0</v>
      </c>
      <c r="S27" s="30">
        <v>3.0</v>
      </c>
      <c r="T27" s="33">
        <f t="shared" si="1"/>
        <v>0.22</v>
      </c>
      <c r="U27" s="34">
        <f t="shared" si="2"/>
        <v>0.23</v>
      </c>
      <c r="V27" s="35">
        <f t="shared" si="3"/>
        <v>521820</v>
      </c>
      <c r="W27" s="35">
        <f t="shared" si="4"/>
        <v>515130</v>
      </c>
    </row>
    <row r="28">
      <c r="A28" s="23" t="s">
        <v>55</v>
      </c>
      <c r="B28" s="23" t="s">
        <v>98</v>
      </c>
      <c r="C28" s="24" t="s">
        <v>101</v>
      </c>
      <c r="D28" s="25">
        <v>1070000.0</v>
      </c>
      <c r="E28" s="26">
        <v>4.0</v>
      </c>
      <c r="F28" s="27">
        <v>30.0</v>
      </c>
      <c r="G28" s="28">
        <v>25.0</v>
      </c>
      <c r="O28" s="29">
        <v>46308.0</v>
      </c>
      <c r="P28" s="39" t="s">
        <v>63</v>
      </c>
      <c r="Q28" s="31" t="s">
        <v>102</v>
      </c>
      <c r="R28" s="32">
        <v>309000.0</v>
      </c>
      <c r="S28" s="30">
        <v>3.0</v>
      </c>
      <c r="T28" s="33">
        <f t="shared" si="1"/>
        <v>0.22</v>
      </c>
      <c r="U28" s="34">
        <f t="shared" si="2"/>
        <v>0.23</v>
      </c>
      <c r="V28" s="35">
        <f t="shared" si="3"/>
        <v>241020</v>
      </c>
      <c r="W28" s="35">
        <f t="shared" si="4"/>
        <v>237930</v>
      </c>
    </row>
    <row r="29">
      <c r="A29" s="23" t="s">
        <v>55</v>
      </c>
      <c r="B29" s="23" t="s">
        <v>98</v>
      </c>
      <c r="C29" s="24" t="s">
        <v>103</v>
      </c>
      <c r="D29" s="25">
        <v>1110000.0</v>
      </c>
      <c r="E29" s="26">
        <v>4.0</v>
      </c>
      <c r="F29" s="27">
        <v>23.0</v>
      </c>
      <c r="G29" s="28">
        <v>17.0</v>
      </c>
      <c r="O29" s="36"/>
      <c r="P29" s="39" t="s">
        <v>63</v>
      </c>
      <c r="Q29" s="31" t="s">
        <v>104</v>
      </c>
      <c r="R29" s="32">
        <v>559000.0</v>
      </c>
      <c r="S29" s="30">
        <v>3.0</v>
      </c>
      <c r="T29" s="33">
        <f t="shared" si="1"/>
        <v>0.22</v>
      </c>
      <c r="U29" s="34">
        <f t="shared" si="2"/>
        <v>0.23</v>
      </c>
      <c r="V29" s="35">
        <f t="shared" si="3"/>
        <v>436020</v>
      </c>
      <c r="W29" s="35">
        <f t="shared" si="4"/>
        <v>430430</v>
      </c>
    </row>
    <row r="30">
      <c r="A30" s="23" t="s">
        <v>55</v>
      </c>
      <c r="B30" s="23" t="s">
        <v>98</v>
      </c>
      <c r="C30" s="24" t="s">
        <v>105</v>
      </c>
      <c r="D30" s="26">
        <v>980.0</v>
      </c>
      <c r="E30" s="26">
        <v>8.0</v>
      </c>
      <c r="F30" s="27">
        <v>23.0</v>
      </c>
      <c r="G30" s="28">
        <v>17.0</v>
      </c>
      <c r="O30" s="36"/>
      <c r="P30" s="40" t="s">
        <v>63</v>
      </c>
      <c r="Q30" s="31" t="s">
        <v>106</v>
      </c>
      <c r="R30" s="37">
        <v>559000.0</v>
      </c>
      <c r="S30" s="30">
        <v>3.0</v>
      </c>
      <c r="T30" s="33">
        <f t="shared" si="1"/>
        <v>0.22</v>
      </c>
      <c r="U30" s="34">
        <f t="shared" si="2"/>
        <v>0.23</v>
      </c>
      <c r="V30" s="35">
        <f t="shared" si="3"/>
        <v>436020</v>
      </c>
      <c r="W30" s="35">
        <f t="shared" si="4"/>
        <v>430430</v>
      </c>
    </row>
    <row r="31">
      <c r="A31" s="23" t="s">
        <v>55</v>
      </c>
      <c r="B31" s="23" t="s">
        <v>98</v>
      </c>
      <c r="C31" s="24" t="s">
        <v>107</v>
      </c>
      <c r="D31" s="25">
        <v>1110000.0</v>
      </c>
      <c r="E31" s="26">
        <v>1.0</v>
      </c>
      <c r="F31" s="27">
        <v>23.0</v>
      </c>
      <c r="G31" s="28">
        <v>17.0</v>
      </c>
      <c r="O31" s="36"/>
      <c r="P31" s="40" t="s">
        <v>63</v>
      </c>
      <c r="Q31" s="31" t="s">
        <v>108</v>
      </c>
      <c r="R31" s="37">
        <v>299000.0</v>
      </c>
      <c r="S31" s="30">
        <v>3.0</v>
      </c>
      <c r="T31" s="33">
        <f t="shared" si="1"/>
        <v>0.22</v>
      </c>
      <c r="U31" s="34">
        <f t="shared" si="2"/>
        <v>0.23</v>
      </c>
      <c r="V31" s="35">
        <f t="shared" si="3"/>
        <v>233220</v>
      </c>
      <c r="W31" s="35">
        <f t="shared" si="4"/>
        <v>230230</v>
      </c>
    </row>
    <row r="32">
      <c r="A32" s="23" t="s">
        <v>55</v>
      </c>
      <c r="B32" s="23" t="s">
        <v>98</v>
      </c>
      <c r="C32" s="24" t="s">
        <v>109</v>
      </c>
      <c r="D32" s="26">
        <v>690.0</v>
      </c>
      <c r="E32" s="26">
        <v>1.0</v>
      </c>
      <c r="F32" s="27">
        <v>25.0</v>
      </c>
      <c r="G32" s="28">
        <v>17.0</v>
      </c>
      <c r="O32" s="38"/>
      <c r="P32" s="39" t="s">
        <v>88</v>
      </c>
      <c r="Q32" s="31" t="s">
        <v>110</v>
      </c>
      <c r="R32" s="32">
        <v>2539000.0</v>
      </c>
      <c r="S32" s="30">
        <v>3.0</v>
      </c>
      <c r="T32" s="33">
        <f t="shared" si="1"/>
        <v>0.3</v>
      </c>
      <c r="U32" s="34">
        <f t="shared" si="2"/>
        <v>0.31</v>
      </c>
      <c r="V32" s="35">
        <f t="shared" si="3"/>
        <v>1777300</v>
      </c>
      <c r="W32" s="35">
        <f t="shared" si="4"/>
        <v>1751910</v>
      </c>
    </row>
    <row r="33">
      <c r="A33" s="23" t="s">
        <v>55</v>
      </c>
      <c r="B33" s="23" t="s">
        <v>98</v>
      </c>
      <c r="C33" s="24" t="s">
        <v>111</v>
      </c>
      <c r="D33" s="26">
        <v>650.0</v>
      </c>
      <c r="E33" s="26">
        <v>12.0</v>
      </c>
      <c r="F33" s="27">
        <v>23.0</v>
      </c>
      <c r="G33" s="28">
        <v>17.0</v>
      </c>
      <c r="O33" s="29">
        <v>46309.0</v>
      </c>
      <c r="P33" s="40" t="s">
        <v>63</v>
      </c>
      <c r="Q33" s="31" t="s">
        <v>112</v>
      </c>
      <c r="R33" s="37">
        <v>309000.0</v>
      </c>
      <c r="S33" s="30">
        <v>3.0</v>
      </c>
      <c r="T33" s="33">
        <f t="shared" si="1"/>
        <v>0.22</v>
      </c>
      <c r="U33" s="34">
        <f t="shared" si="2"/>
        <v>0.23</v>
      </c>
      <c r="V33" s="35">
        <f t="shared" si="3"/>
        <v>241020</v>
      </c>
      <c r="W33" s="35">
        <f t="shared" si="4"/>
        <v>237930</v>
      </c>
    </row>
    <row r="34">
      <c r="A34" s="23" t="s">
        <v>55</v>
      </c>
      <c r="B34" s="23" t="s">
        <v>98</v>
      </c>
      <c r="C34" s="24" t="s">
        <v>113</v>
      </c>
      <c r="D34" s="26">
        <v>640.0</v>
      </c>
      <c r="E34" s="26">
        <v>6.0</v>
      </c>
      <c r="F34" s="27">
        <v>25.0</v>
      </c>
      <c r="G34" s="28">
        <v>17.0</v>
      </c>
      <c r="O34" s="36"/>
      <c r="P34" s="40" t="s">
        <v>63</v>
      </c>
      <c r="Q34" s="31" t="s">
        <v>114</v>
      </c>
      <c r="R34" s="37">
        <v>659000.0</v>
      </c>
      <c r="S34" s="30">
        <v>3.0</v>
      </c>
      <c r="T34" s="33">
        <f t="shared" si="1"/>
        <v>0.22</v>
      </c>
      <c r="U34" s="34">
        <f t="shared" si="2"/>
        <v>0.23</v>
      </c>
      <c r="V34" s="35">
        <f t="shared" si="3"/>
        <v>514020</v>
      </c>
      <c r="W34" s="35">
        <f t="shared" si="4"/>
        <v>507430</v>
      </c>
    </row>
    <row r="35">
      <c r="A35" s="23" t="s">
        <v>55</v>
      </c>
      <c r="B35" s="23" t="s">
        <v>98</v>
      </c>
      <c r="C35" s="24" t="s">
        <v>115</v>
      </c>
      <c r="D35" s="26">
        <v>860.0</v>
      </c>
      <c r="E35" s="26">
        <v>4.0</v>
      </c>
      <c r="F35" s="27">
        <v>30.0</v>
      </c>
      <c r="G35" s="28">
        <v>25.0</v>
      </c>
      <c r="O35" s="36"/>
      <c r="P35" s="39" t="s">
        <v>63</v>
      </c>
      <c r="Q35" s="31" t="s">
        <v>116</v>
      </c>
      <c r="R35" s="32">
        <v>909000.0</v>
      </c>
      <c r="S35" s="30">
        <v>3.0</v>
      </c>
      <c r="T35" s="33">
        <f t="shared" si="1"/>
        <v>0.22</v>
      </c>
      <c r="U35" s="34">
        <f t="shared" si="2"/>
        <v>0.23</v>
      </c>
      <c r="V35" s="35">
        <f t="shared" si="3"/>
        <v>709020</v>
      </c>
      <c r="W35" s="35">
        <f t="shared" si="4"/>
        <v>699930</v>
      </c>
    </row>
    <row r="36">
      <c r="A36" s="23" t="s">
        <v>55</v>
      </c>
      <c r="B36" s="23" t="s">
        <v>98</v>
      </c>
      <c r="C36" s="24" t="s">
        <v>117</v>
      </c>
      <c r="D36" s="26">
        <v>860.0</v>
      </c>
      <c r="E36" s="26">
        <v>3.0</v>
      </c>
      <c r="F36" s="27">
        <v>30.0</v>
      </c>
      <c r="G36" s="28">
        <v>25.0</v>
      </c>
      <c r="O36" s="36"/>
      <c r="P36" s="40" t="s">
        <v>63</v>
      </c>
      <c r="Q36" s="31" t="s">
        <v>118</v>
      </c>
      <c r="R36" s="37">
        <v>559000.0</v>
      </c>
      <c r="S36" s="30">
        <v>3.0</v>
      </c>
      <c r="T36" s="33">
        <f t="shared" si="1"/>
        <v>0.22</v>
      </c>
      <c r="U36" s="34">
        <f t="shared" si="2"/>
        <v>0.23</v>
      </c>
      <c r="V36" s="35">
        <f t="shared" si="3"/>
        <v>436020</v>
      </c>
      <c r="W36" s="35">
        <f t="shared" si="4"/>
        <v>430430</v>
      </c>
    </row>
    <row r="37">
      <c r="A37" s="23" t="s">
        <v>55</v>
      </c>
      <c r="B37" s="23" t="s">
        <v>98</v>
      </c>
      <c r="C37" s="24" t="s">
        <v>119</v>
      </c>
      <c r="D37" s="26">
        <v>860.0</v>
      </c>
      <c r="E37" s="26">
        <v>9.0</v>
      </c>
      <c r="F37" s="27">
        <v>30.0</v>
      </c>
      <c r="G37" s="28">
        <v>25.0</v>
      </c>
      <c r="O37" s="38"/>
      <c r="P37" s="40" t="s">
        <v>63</v>
      </c>
      <c r="Q37" s="31" t="s">
        <v>120</v>
      </c>
      <c r="R37" s="37">
        <v>489000.0</v>
      </c>
      <c r="S37" s="30">
        <v>3.0</v>
      </c>
      <c r="T37" s="33">
        <f t="shared" si="1"/>
        <v>0.22</v>
      </c>
      <c r="U37" s="34">
        <f t="shared" si="2"/>
        <v>0.23</v>
      </c>
      <c r="V37" s="35">
        <f t="shared" si="3"/>
        <v>381420</v>
      </c>
      <c r="W37" s="35">
        <f t="shared" si="4"/>
        <v>376530</v>
      </c>
    </row>
    <row r="38">
      <c r="A38" s="23" t="s">
        <v>55</v>
      </c>
      <c r="B38" s="23" t="s">
        <v>98</v>
      </c>
      <c r="C38" s="24" t="s">
        <v>121</v>
      </c>
      <c r="D38" s="26">
        <v>810.0</v>
      </c>
      <c r="E38" s="26">
        <v>5.0</v>
      </c>
      <c r="F38" s="27">
        <v>30.0</v>
      </c>
      <c r="G38" s="28">
        <v>25.0</v>
      </c>
      <c r="O38" s="29">
        <v>46310.0</v>
      </c>
      <c r="P38" s="41"/>
      <c r="Q38" s="1" t="s">
        <v>122</v>
      </c>
      <c r="R38" s="41"/>
      <c r="S38" s="30">
        <v>3.0</v>
      </c>
      <c r="T38" s="33">
        <f t="shared" si="1"/>
        <v>0.3</v>
      </c>
      <c r="U38" s="34">
        <f t="shared" si="2"/>
        <v>0.31</v>
      </c>
      <c r="V38" s="41">
        <f t="shared" si="3"/>
        <v>0</v>
      </c>
      <c r="W38" s="41">
        <f t="shared" si="4"/>
        <v>0</v>
      </c>
    </row>
    <row r="39">
      <c r="A39" s="23" t="s">
        <v>55</v>
      </c>
      <c r="B39" s="23" t="s">
        <v>98</v>
      </c>
      <c r="C39" s="24" t="s">
        <v>123</v>
      </c>
      <c r="D39" s="26">
        <v>870.0</v>
      </c>
      <c r="E39" s="26">
        <v>3.0</v>
      </c>
      <c r="F39" s="27">
        <v>30.0</v>
      </c>
      <c r="G39" s="28">
        <v>25.0</v>
      </c>
      <c r="O39" s="36"/>
      <c r="P39" s="41"/>
      <c r="Q39" s="1" t="s">
        <v>122</v>
      </c>
      <c r="R39" s="41"/>
      <c r="S39" s="30">
        <v>3.0</v>
      </c>
      <c r="T39" s="33">
        <f t="shared" si="1"/>
        <v>0.3</v>
      </c>
      <c r="U39" s="34">
        <f t="shared" si="2"/>
        <v>0.31</v>
      </c>
      <c r="V39" s="41">
        <f t="shared" si="3"/>
        <v>0</v>
      </c>
      <c r="W39" s="41">
        <f t="shared" si="4"/>
        <v>0</v>
      </c>
    </row>
    <row r="40">
      <c r="A40" s="23" t="s">
        <v>55</v>
      </c>
      <c r="B40" s="23" t="s">
        <v>98</v>
      </c>
      <c r="C40" s="24" t="s">
        <v>124</v>
      </c>
      <c r="D40" s="26">
        <v>790.0</v>
      </c>
      <c r="E40" s="26">
        <v>7.0</v>
      </c>
      <c r="F40" s="27">
        <v>30.0</v>
      </c>
      <c r="G40" s="28">
        <v>25.0</v>
      </c>
      <c r="O40" s="36"/>
      <c r="P40" s="41"/>
      <c r="Q40" s="1" t="s">
        <v>122</v>
      </c>
      <c r="R40" s="41"/>
      <c r="S40" s="30">
        <v>3.0</v>
      </c>
      <c r="T40" s="33">
        <f t="shared" si="1"/>
        <v>0.3</v>
      </c>
      <c r="U40" s="34">
        <f t="shared" si="2"/>
        <v>0.31</v>
      </c>
      <c r="V40" s="41">
        <f t="shared" si="3"/>
        <v>0</v>
      </c>
      <c r="W40" s="41">
        <f t="shared" si="4"/>
        <v>0</v>
      </c>
    </row>
    <row r="41">
      <c r="A41" s="23" t="s">
        <v>55</v>
      </c>
      <c r="B41" s="23" t="s">
        <v>98</v>
      </c>
      <c r="C41" s="24" t="s">
        <v>125</v>
      </c>
      <c r="D41" s="25">
        <v>1110000.0</v>
      </c>
      <c r="E41" s="26">
        <v>4.0</v>
      </c>
      <c r="F41" s="27">
        <v>30.0</v>
      </c>
      <c r="G41" s="28">
        <v>25.0</v>
      </c>
      <c r="O41" s="36"/>
      <c r="P41" s="41"/>
      <c r="Q41" s="1" t="s">
        <v>122</v>
      </c>
      <c r="R41" s="41"/>
      <c r="S41" s="30">
        <v>3.0</v>
      </c>
      <c r="T41" s="33">
        <f t="shared" si="1"/>
        <v>0.3</v>
      </c>
      <c r="U41" s="34">
        <f t="shared" si="2"/>
        <v>0.31</v>
      </c>
      <c r="V41" s="41">
        <f t="shared" si="3"/>
        <v>0</v>
      </c>
      <c r="W41" s="41">
        <f t="shared" si="4"/>
        <v>0</v>
      </c>
    </row>
    <row r="42">
      <c r="A42" s="23" t="s">
        <v>55</v>
      </c>
      <c r="B42" s="23" t="s">
        <v>98</v>
      </c>
      <c r="C42" s="24" t="s">
        <v>126</v>
      </c>
      <c r="D42" s="25">
        <v>1790000.0</v>
      </c>
      <c r="E42" s="26">
        <v>1.0</v>
      </c>
      <c r="F42" s="27">
        <v>25.0</v>
      </c>
      <c r="G42" s="28">
        <v>17.0</v>
      </c>
      <c r="O42" s="38"/>
      <c r="P42" s="41"/>
      <c r="Q42" s="1" t="s">
        <v>122</v>
      </c>
      <c r="R42" s="41"/>
      <c r="S42" s="30">
        <v>3.0</v>
      </c>
      <c r="T42" s="33">
        <f t="shared" si="1"/>
        <v>0.3</v>
      </c>
      <c r="U42" s="34">
        <f t="shared" si="2"/>
        <v>0.31</v>
      </c>
      <c r="V42" s="41">
        <f t="shared" si="3"/>
        <v>0</v>
      </c>
      <c r="W42" s="41">
        <f t="shared" si="4"/>
        <v>0</v>
      </c>
    </row>
    <row r="43">
      <c r="A43" s="23" t="s">
        <v>55</v>
      </c>
      <c r="B43" s="23" t="s">
        <v>98</v>
      </c>
      <c r="C43" s="24" t="s">
        <v>127</v>
      </c>
      <c r="D43" s="25">
        <v>1850000.0</v>
      </c>
      <c r="E43" s="26">
        <v>2.0</v>
      </c>
      <c r="F43" s="27">
        <v>23.0</v>
      </c>
      <c r="G43" s="28">
        <v>17.0</v>
      </c>
      <c r="O43" s="29">
        <v>46311.0</v>
      </c>
      <c r="P43" s="41"/>
      <c r="Q43" s="1" t="s">
        <v>122</v>
      </c>
      <c r="R43" s="41"/>
      <c r="S43" s="30">
        <v>3.0</v>
      </c>
      <c r="T43" s="33">
        <f t="shared" si="1"/>
        <v>0.3</v>
      </c>
      <c r="U43" s="34">
        <f t="shared" si="2"/>
        <v>0.31</v>
      </c>
      <c r="V43" s="41">
        <f t="shared" si="3"/>
        <v>0</v>
      </c>
      <c r="W43" s="41">
        <f t="shared" si="4"/>
        <v>0</v>
      </c>
    </row>
    <row r="44">
      <c r="A44" s="23" t="s">
        <v>55</v>
      </c>
      <c r="B44" s="23" t="s">
        <v>98</v>
      </c>
      <c r="C44" s="24" t="s">
        <v>128</v>
      </c>
      <c r="D44" s="25">
        <v>1850000.0</v>
      </c>
      <c r="E44" s="26">
        <v>1.0</v>
      </c>
      <c r="F44" s="27">
        <v>25.0</v>
      </c>
      <c r="G44" s="28">
        <v>17.0</v>
      </c>
      <c r="O44" s="36"/>
      <c r="P44" s="41"/>
      <c r="Q44" s="1" t="s">
        <v>122</v>
      </c>
      <c r="R44" s="41"/>
      <c r="S44" s="30">
        <v>3.0</v>
      </c>
      <c r="T44" s="33">
        <f t="shared" si="1"/>
        <v>0.3</v>
      </c>
      <c r="U44" s="34">
        <f t="shared" si="2"/>
        <v>0.31</v>
      </c>
      <c r="V44" s="41">
        <f t="shared" si="3"/>
        <v>0</v>
      </c>
      <c r="W44" s="41">
        <f t="shared" si="4"/>
        <v>0</v>
      </c>
    </row>
    <row r="45">
      <c r="A45" s="23" t="s">
        <v>55</v>
      </c>
      <c r="B45" s="23" t="s">
        <v>98</v>
      </c>
      <c r="C45" s="24" t="s">
        <v>129</v>
      </c>
      <c r="D45" s="25">
        <v>1880000.0</v>
      </c>
      <c r="E45" s="26">
        <v>39.0</v>
      </c>
      <c r="F45" s="27">
        <v>25.0</v>
      </c>
      <c r="G45" s="28">
        <v>17.0</v>
      </c>
      <c r="O45" s="36"/>
      <c r="P45" s="41"/>
      <c r="Q45" s="1" t="s">
        <v>122</v>
      </c>
      <c r="R45" s="41"/>
      <c r="S45" s="30">
        <v>3.0</v>
      </c>
      <c r="T45" s="33">
        <f t="shared" si="1"/>
        <v>0.3</v>
      </c>
      <c r="U45" s="34">
        <f t="shared" si="2"/>
        <v>0.31</v>
      </c>
      <c r="V45" s="41">
        <f t="shared" si="3"/>
        <v>0</v>
      </c>
      <c r="W45" s="41">
        <f t="shared" si="4"/>
        <v>0</v>
      </c>
    </row>
    <row r="46">
      <c r="A46" s="23" t="s">
        <v>55</v>
      </c>
      <c r="B46" s="23" t="s">
        <v>98</v>
      </c>
      <c r="C46" s="24" t="s">
        <v>130</v>
      </c>
      <c r="D46" s="25">
        <v>2120000.0</v>
      </c>
      <c r="E46" s="26">
        <v>4.0</v>
      </c>
      <c r="F46" s="27">
        <v>25.0</v>
      </c>
      <c r="G46" s="28">
        <v>17.0</v>
      </c>
      <c r="O46" s="36"/>
      <c r="P46" s="41"/>
      <c r="Q46" s="1" t="s">
        <v>122</v>
      </c>
      <c r="R46" s="41"/>
      <c r="S46" s="30">
        <v>3.0</v>
      </c>
      <c r="T46" s="33">
        <f t="shared" si="1"/>
        <v>0.3</v>
      </c>
      <c r="U46" s="34">
        <f t="shared" si="2"/>
        <v>0.31</v>
      </c>
      <c r="V46" s="41">
        <f t="shared" si="3"/>
        <v>0</v>
      </c>
      <c r="W46" s="41">
        <f t="shared" si="4"/>
        <v>0</v>
      </c>
    </row>
    <row r="47">
      <c r="A47" s="23" t="s">
        <v>55</v>
      </c>
      <c r="B47" s="23" t="s">
        <v>98</v>
      </c>
      <c r="C47" s="24" t="s">
        <v>131</v>
      </c>
      <c r="D47" s="25">
        <v>1270000.0</v>
      </c>
      <c r="E47" s="26">
        <v>11.0</v>
      </c>
      <c r="F47" s="27">
        <v>30.0</v>
      </c>
      <c r="G47" s="28">
        <v>25.0</v>
      </c>
      <c r="O47" s="38"/>
      <c r="P47" s="41"/>
      <c r="Q47" s="1" t="s">
        <v>122</v>
      </c>
      <c r="R47" s="41"/>
      <c r="S47" s="30">
        <v>3.0</v>
      </c>
      <c r="T47" s="33">
        <f t="shared" si="1"/>
        <v>0.3</v>
      </c>
      <c r="U47" s="34">
        <f t="shared" si="2"/>
        <v>0.31</v>
      </c>
      <c r="V47" s="41">
        <f t="shared" si="3"/>
        <v>0</v>
      </c>
      <c r="W47" s="41">
        <f t="shared" si="4"/>
        <v>0</v>
      </c>
    </row>
    <row r="48">
      <c r="A48" s="23" t="s">
        <v>55</v>
      </c>
      <c r="B48" s="23" t="s">
        <v>98</v>
      </c>
      <c r="C48" s="24" t="s">
        <v>132</v>
      </c>
      <c r="D48" s="25">
        <v>1070000.0</v>
      </c>
      <c r="E48" s="26">
        <v>11.0</v>
      </c>
      <c r="F48" s="27">
        <v>30.0</v>
      </c>
      <c r="G48" s="28">
        <v>25.0</v>
      </c>
      <c r="O48" s="29">
        <v>46312.0</v>
      </c>
      <c r="P48" s="41"/>
      <c r="Q48" s="1" t="s">
        <v>122</v>
      </c>
      <c r="R48" s="41"/>
      <c r="S48" s="30">
        <v>3.0</v>
      </c>
      <c r="T48" s="33">
        <f t="shared" si="1"/>
        <v>0.3</v>
      </c>
      <c r="U48" s="34">
        <f t="shared" si="2"/>
        <v>0.31</v>
      </c>
      <c r="V48" s="41">
        <f t="shared" si="3"/>
        <v>0</v>
      </c>
      <c r="W48" s="41">
        <f t="shared" si="4"/>
        <v>0</v>
      </c>
    </row>
    <row r="49">
      <c r="A49" s="23" t="s">
        <v>55</v>
      </c>
      <c r="B49" s="23" t="s">
        <v>98</v>
      </c>
      <c r="C49" s="24" t="s">
        <v>133</v>
      </c>
      <c r="D49" s="25">
        <v>1040000.0</v>
      </c>
      <c r="E49" s="26">
        <v>10.0</v>
      </c>
      <c r="F49" s="27">
        <v>30.0</v>
      </c>
      <c r="G49" s="28">
        <v>25.0</v>
      </c>
      <c r="O49" s="36"/>
      <c r="P49" s="41"/>
      <c r="Q49" s="1" t="s">
        <v>122</v>
      </c>
      <c r="R49" s="41"/>
      <c r="S49" s="30">
        <v>3.0</v>
      </c>
      <c r="T49" s="33">
        <f t="shared" si="1"/>
        <v>0.3</v>
      </c>
      <c r="U49" s="34">
        <f t="shared" si="2"/>
        <v>0.31</v>
      </c>
      <c r="V49" s="41">
        <f t="shared" si="3"/>
        <v>0</v>
      </c>
      <c r="W49" s="41">
        <f t="shared" si="4"/>
        <v>0</v>
      </c>
    </row>
    <row r="50">
      <c r="A50" s="23" t="s">
        <v>55</v>
      </c>
      <c r="B50" s="23" t="s">
        <v>98</v>
      </c>
      <c r="C50" s="24" t="s">
        <v>134</v>
      </c>
      <c r="D50" s="26">
        <v>966.0</v>
      </c>
      <c r="E50" s="26">
        <v>2.0</v>
      </c>
      <c r="F50" s="27">
        <v>35.0</v>
      </c>
      <c r="G50" s="28">
        <v>25.0</v>
      </c>
      <c r="O50" s="36"/>
      <c r="P50" s="41"/>
      <c r="Q50" s="1" t="s">
        <v>122</v>
      </c>
      <c r="R50" s="41"/>
      <c r="S50" s="30">
        <v>3.0</v>
      </c>
      <c r="T50" s="33">
        <f t="shared" si="1"/>
        <v>0.3</v>
      </c>
      <c r="U50" s="34">
        <f t="shared" si="2"/>
        <v>0.31</v>
      </c>
      <c r="V50" s="41">
        <f t="shared" si="3"/>
        <v>0</v>
      </c>
      <c r="W50" s="41">
        <f t="shared" si="4"/>
        <v>0</v>
      </c>
    </row>
    <row r="51">
      <c r="A51" s="23" t="s">
        <v>55</v>
      </c>
      <c r="B51" s="23" t="s">
        <v>98</v>
      </c>
      <c r="C51" s="24" t="s">
        <v>135</v>
      </c>
      <c r="D51" s="26">
        <v>937.0</v>
      </c>
      <c r="E51" s="26">
        <v>1.0</v>
      </c>
      <c r="F51" s="27">
        <v>35.0</v>
      </c>
      <c r="G51" s="28">
        <v>25.0</v>
      </c>
      <c r="O51" s="36"/>
      <c r="P51" s="41"/>
      <c r="Q51" s="1" t="s">
        <v>122</v>
      </c>
      <c r="R51" s="41"/>
      <c r="S51" s="30">
        <v>3.0</v>
      </c>
      <c r="T51" s="33">
        <f t="shared" si="1"/>
        <v>0.3</v>
      </c>
      <c r="U51" s="34">
        <f t="shared" si="2"/>
        <v>0.31</v>
      </c>
      <c r="V51" s="41">
        <f t="shared" si="3"/>
        <v>0</v>
      </c>
      <c r="W51" s="41">
        <f t="shared" si="4"/>
        <v>0</v>
      </c>
    </row>
    <row r="52">
      <c r="A52" s="23" t="s">
        <v>55</v>
      </c>
      <c r="B52" s="23" t="s">
        <v>98</v>
      </c>
      <c r="C52" s="24" t="s">
        <v>136</v>
      </c>
      <c r="D52" s="26">
        <v>790.0</v>
      </c>
      <c r="E52" s="26">
        <v>1.0</v>
      </c>
      <c r="F52" s="27">
        <v>30.0</v>
      </c>
      <c r="G52" s="28">
        <v>25.0</v>
      </c>
      <c r="O52" s="38"/>
      <c r="P52" s="41"/>
      <c r="Q52" s="1" t="s">
        <v>122</v>
      </c>
      <c r="R52" s="41"/>
      <c r="S52" s="30">
        <v>3.0</v>
      </c>
      <c r="T52" s="33">
        <f t="shared" si="1"/>
        <v>0.3</v>
      </c>
      <c r="U52" s="34">
        <f t="shared" si="2"/>
        <v>0.31</v>
      </c>
      <c r="V52" s="41">
        <f t="shared" si="3"/>
        <v>0</v>
      </c>
      <c r="W52" s="41">
        <f t="shared" si="4"/>
        <v>0</v>
      </c>
    </row>
    <row r="53">
      <c r="A53" s="23" t="s">
        <v>55</v>
      </c>
      <c r="B53" s="23" t="s">
        <v>98</v>
      </c>
      <c r="C53" s="24" t="s">
        <v>137</v>
      </c>
      <c r="D53" s="26">
        <v>810.0</v>
      </c>
      <c r="E53" s="26">
        <v>4.0</v>
      </c>
      <c r="F53" s="27">
        <v>30.0</v>
      </c>
      <c r="G53" s="28">
        <v>25.0</v>
      </c>
      <c r="O53" s="29">
        <v>46313.0</v>
      </c>
      <c r="P53" s="41"/>
      <c r="Q53" s="1" t="s">
        <v>122</v>
      </c>
      <c r="R53" s="41"/>
      <c r="S53" s="30">
        <v>3.0</v>
      </c>
      <c r="T53" s="33">
        <f t="shared" si="1"/>
        <v>0.3</v>
      </c>
      <c r="U53" s="34">
        <f t="shared" si="2"/>
        <v>0.31</v>
      </c>
      <c r="V53" s="41">
        <f t="shared" si="3"/>
        <v>0</v>
      </c>
      <c r="W53" s="41">
        <f t="shared" si="4"/>
        <v>0</v>
      </c>
    </row>
    <row r="54">
      <c r="A54" s="23" t="s">
        <v>55</v>
      </c>
      <c r="B54" s="23" t="s">
        <v>98</v>
      </c>
      <c r="C54" s="24" t="s">
        <v>138</v>
      </c>
      <c r="D54" s="25">
        <v>1170000.0</v>
      </c>
      <c r="E54" s="26">
        <v>1.0</v>
      </c>
      <c r="F54" s="27">
        <v>35.0</v>
      </c>
      <c r="G54" s="28">
        <v>25.0</v>
      </c>
      <c r="O54" s="36"/>
      <c r="P54" s="41"/>
      <c r="Q54" s="1" t="s">
        <v>122</v>
      </c>
      <c r="R54" s="41"/>
      <c r="S54" s="30">
        <v>3.0</v>
      </c>
      <c r="T54" s="33">
        <f t="shared" si="1"/>
        <v>0.3</v>
      </c>
      <c r="U54" s="34">
        <f t="shared" si="2"/>
        <v>0.31</v>
      </c>
      <c r="V54" s="41">
        <f t="shared" si="3"/>
        <v>0</v>
      </c>
      <c r="W54" s="41">
        <f t="shared" si="4"/>
        <v>0</v>
      </c>
    </row>
    <row r="55">
      <c r="A55" s="23" t="s">
        <v>55</v>
      </c>
      <c r="B55" s="23" t="s">
        <v>98</v>
      </c>
      <c r="C55" s="24" t="s">
        <v>139</v>
      </c>
      <c r="D55" s="26">
        <v>910.0</v>
      </c>
      <c r="E55" s="26">
        <v>1.0</v>
      </c>
      <c r="F55" s="27">
        <v>30.0</v>
      </c>
      <c r="G55" s="28">
        <v>25.0</v>
      </c>
      <c r="O55" s="36"/>
      <c r="P55" s="41"/>
      <c r="Q55" s="1" t="s">
        <v>122</v>
      </c>
      <c r="R55" s="41"/>
      <c r="S55" s="30">
        <v>3.0</v>
      </c>
      <c r="T55" s="33">
        <f t="shared" si="1"/>
        <v>0.3</v>
      </c>
      <c r="U55" s="34">
        <f t="shared" si="2"/>
        <v>0.31</v>
      </c>
      <c r="V55" s="41">
        <f t="shared" si="3"/>
        <v>0</v>
      </c>
      <c r="W55" s="41">
        <f t="shared" si="4"/>
        <v>0</v>
      </c>
    </row>
    <row r="56">
      <c r="A56" s="23" t="s">
        <v>55</v>
      </c>
      <c r="B56" s="23" t="s">
        <v>98</v>
      </c>
      <c r="C56" s="24" t="s">
        <v>140</v>
      </c>
      <c r="D56" s="25">
        <v>1030000.0</v>
      </c>
      <c r="E56" s="26">
        <v>2.0</v>
      </c>
      <c r="F56" s="27">
        <v>30.0</v>
      </c>
      <c r="G56" s="28">
        <v>25.0</v>
      </c>
      <c r="O56" s="36"/>
      <c r="P56" s="41"/>
      <c r="Q56" s="1" t="s">
        <v>122</v>
      </c>
      <c r="R56" s="41"/>
      <c r="S56" s="30">
        <v>3.0</v>
      </c>
      <c r="T56" s="33">
        <f t="shared" si="1"/>
        <v>0.3</v>
      </c>
      <c r="U56" s="34">
        <f t="shared" si="2"/>
        <v>0.31</v>
      </c>
      <c r="V56" s="41">
        <f t="shared" si="3"/>
        <v>0</v>
      </c>
      <c r="W56" s="41">
        <f t="shared" si="4"/>
        <v>0</v>
      </c>
    </row>
    <row r="57">
      <c r="A57" s="23" t="s">
        <v>55</v>
      </c>
      <c r="B57" s="23" t="s">
        <v>98</v>
      </c>
      <c r="C57" s="24" t="s">
        <v>141</v>
      </c>
      <c r="D57" s="25">
        <v>1030000.0</v>
      </c>
      <c r="E57" s="26">
        <v>11.0</v>
      </c>
      <c r="F57" s="27">
        <v>30.0</v>
      </c>
      <c r="G57" s="28">
        <v>25.0</v>
      </c>
      <c r="O57" s="38"/>
      <c r="P57" s="41"/>
      <c r="Q57" s="1" t="s">
        <v>122</v>
      </c>
      <c r="R57" s="41"/>
      <c r="S57" s="30">
        <v>3.0</v>
      </c>
      <c r="T57" s="33">
        <f t="shared" si="1"/>
        <v>0.3</v>
      </c>
      <c r="U57" s="34">
        <f t="shared" si="2"/>
        <v>0.31</v>
      </c>
      <c r="V57" s="41">
        <f t="shared" si="3"/>
        <v>0</v>
      </c>
      <c r="W57" s="41">
        <f t="shared" si="4"/>
        <v>0</v>
      </c>
    </row>
    <row r="58">
      <c r="A58" s="23" t="s">
        <v>55</v>
      </c>
      <c r="B58" s="23" t="s">
        <v>98</v>
      </c>
      <c r="C58" s="24" t="s">
        <v>142</v>
      </c>
      <c r="D58" s="25">
        <v>1030000.0</v>
      </c>
      <c r="E58" s="26">
        <v>11.0</v>
      </c>
      <c r="F58" s="27">
        <v>30.0</v>
      </c>
      <c r="G58" s="28">
        <v>25.0</v>
      </c>
      <c r="O58" s="29">
        <v>46314.0</v>
      </c>
      <c r="P58" s="41"/>
      <c r="Q58" s="1" t="s">
        <v>122</v>
      </c>
      <c r="R58" s="41"/>
      <c r="S58" s="30">
        <v>3.0</v>
      </c>
      <c r="T58" s="33">
        <f t="shared" si="1"/>
        <v>0.3</v>
      </c>
      <c r="U58" s="34">
        <f t="shared" si="2"/>
        <v>0.31</v>
      </c>
      <c r="V58" s="41">
        <f t="shared" si="3"/>
        <v>0</v>
      </c>
      <c r="W58" s="41">
        <f t="shared" si="4"/>
        <v>0</v>
      </c>
    </row>
    <row r="59">
      <c r="A59" s="23" t="s">
        <v>55</v>
      </c>
      <c r="B59" s="23" t="s">
        <v>98</v>
      </c>
      <c r="C59" s="24" t="s">
        <v>143</v>
      </c>
      <c r="D59" s="25">
        <v>1180000.0</v>
      </c>
      <c r="E59" s="26">
        <v>1.0</v>
      </c>
      <c r="F59" s="27">
        <v>23.0</v>
      </c>
      <c r="G59" s="28">
        <v>17.0</v>
      </c>
      <c r="O59" s="36"/>
      <c r="P59" s="41"/>
      <c r="Q59" s="1" t="s">
        <v>122</v>
      </c>
      <c r="R59" s="41"/>
      <c r="S59" s="30">
        <v>3.0</v>
      </c>
      <c r="T59" s="33">
        <f t="shared" si="1"/>
        <v>0.3</v>
      </c>
      <c r="U59" s="34">
        <f t="shared" si="2"/>
        <v>0.31</v>
      </c>
      <c r="V59" s="41">
        <f t="shared" si="3"/>
        <v>0</v>
      </c>
      <c r="W59" s="41">
        <f t="shared" si="4"/>
        <v>0</v>
      </c>
    </row>
    <row r="60">
      <c r="A60" s="23" t="s">
        <v>55</v>
      </c>
      <c r="B60" s="23" t="s">
        <v>98</v>
      </c>
      <c r="C60" s="24" t="s">
        <v>144</v>
      </c>
      <c r="D60" s="26">
        <v>650.0</v>
      </c>
      <c r="E60" s="26">
        <v>16.0</v>
      </c>
      <c r="F60" s="27">
        <v>25.0</v>
      </c>
      <c r="G60" s="28">
        <v>17.0</v>
      </c>
      <c r="O60" s="36"/>
      <c r="P60" s="41"/>
      <c r="Q60" s="1" t="s">
        <v>122</v>
      </c>
      <c r="R60" s="41"/>
      <c r="S60" s="30">
        <v>3.0</v>
      </c>
      <c r="T60" s="33">
        <f t="shared" si="1"/>
        <v>0.3</v>
      </c>
      <c r="U60" s="34">
        <f t="shared" si="2"/>
        <v>0.31</v>
      </c>
      <c r="V60" s="41">
        <f t="shared" si="3"/>
        <v>0</v>
      </c>
      <c r="W60" s="41">
        <f t="shared" si="4"/>
        <v>0</v>
      </c>
    </row>
    <row r="61">
      <c r="A61" s="23" t="s">
        <v>55</v>
      </c>
      <c r="B61" s="23" t="s">
        <v>98</v>
      </c>
      <c r="C61" s="24" t="s">
        <v>145</v>
      </c>
      <c r="D61" s="26">
        <v>650.0</v>
      </c>
      <c r="E61" s="26">
        <v>37.0</v>
      </c>
      <c r="F61" s="27">
        <v>25.0</v>
      </c>
      <c r="G61" s="28">
        <v>17.0</v>
      </c>
      <c r="O61" s="36"/>
      <c r="P61" s="41"/>
      <c r="Q61" s="1" t="s">
        <v>122</v>
      </c>
      <c r="R61" s="41"/>
      <c r="S61" s="30">
        <v>3.0</v>
      </c>
      <c r="T61" s="33">
        <f t="shared" si="1"/>
        <v>0.3</v>
      </c>
      <c r="U61" s="34">
        <f t="shared" si="2"/>
        <v>0.31</v>
      </c>
      <c r="V61" s="41">
        <f t="shared" si="3"/>
        <v>0</v>
      </c>
      <c r="W61" s="41">
        <f t="shared" si="4"/>
        <v>0</v>
      </c>
    </row>
    <row r="62">
      <c r="A62" s="23" t="s">
        <v>55</v>
      </c>
      <c r="B62" s="23" t="s">
        <v>98</v>
      </c>
      <c r="C62" s="24" t="s">
        <v>146</v>
      </c>
      <c r="D62" s="26">
        <v>640.0</v>
      </c>
      <c r="E62" s="26">
        <v>39.0</v>
      </c>
      <c r="F62" s="27">
        <v>25.0</v>
      </c>
      <c r="G62" s="28">
        <v>17.0</v>
      </c>
      <c r="O62" s="38"/>
      <c r="P62" s="41"/>
      <c r="Q62" s="1" t="s">
        <v>122</v>
      </c>
      <c r="R62" s="41"/>
      <c r="S62" s="30">
        <v>3.0</v>
      </c>
      <c r="T62" s="33">
        <f t="shared" si="1"/>
        <v>0.3</v>
      </c>
      <c r="U62" s="34">
        <f t="shared" si="2"/>
        <v>0.31</v>
      </c>
      <c r="V62" s="41">
        <f t="shared" si="3"/>
        <v>0</v>
      </c>
      <c r="W62" s="41">
        <f t="shared" si="4"/>
        <v>0</v>
      </c>
    </row>
    <row r="63">
      <c r="A63" s="23" t="s">
        <v>55</v>
      </c>
      <c r="B63" s="23" t="s">
        <v>98</v>
      </c>
      <c r="C63" s="24" t="s">
        <v>147</v>
      </c>
      <c r="D63" s="26">
        <v>640.0</v>
      </c>
      <c r="E63" s="26">
        <v>42.0</v>
      </c>
      <c r="F63" s="27">
        <v>25.0</v>
      </c>
      <c r="G63" s="28">
        <v>17.0</v>
      </c>
      <c r="O63" s="29">
        <v>46315.0</v>
      </c>
      <c r="P63" s="41"/>
      <c r="Q63" s="1" t="s">
        <v>122</v>
      </c>
      <c r="R63" s="41"/>
      <c r="S63" s="30">
        <v>3.0</v>
      </c>
      <c r="T63" s="33">
        <f t="shared" si="1"/>
        <v>0.3</v>
      </c>
      <c r="U63" s="34">
        <f t="shared" si="2"/>
        <v>0.31</v>
      </c>
      <c r="V63" s="41">
        <f t="shared" si="3"/>
        <v>0</v>
      </c>
      <c r="W63" s="41">
        <f t="shared" si="4"/>
        <v>0</v>
      </c>
    </row>
    <row r="64">
      <c r="A64" s="23" t="s">
        <v>55</v>
      </c>
      <c r="B64" s="23" t="s">
        <v>98</v>
      </c>
      <c r="C64" s="24" t="s">
        <v>148</v>
      </c>
      <c r="D64" s="26">
        <v>640.0</v>
      </c>
      <c r="E64" s="26">
        <v>44.0</v>
      </c>
      <c r="F64" s="27">
        <v>25.0</v>
      </c>
      <c r="G64" s="28">
        <v>17.0</v>
      </c>
      <c r="O64" s="36"/>
      <c r="P64" s="41"/>
      <c r="Q64" s="1" t="s">
        <v>122</v>
      </c>
      <c r="R64" s="41"/>
      <c r="S64" s="30">
        <v>3.0</v>
      </c>
      <c r="T64" s="33">
        <f t="shared" si="1"/>
        <v>0.3</v>
      </c>
      <c r="U64" s="34">
        <f t="shared" si="2"/>
        <v>0.31</v>
      </c>
      <c r="V64" s="41">
        <f t="shared" si="3"/>
        <v>0</v>
      </c>
      <c r="W64" s="41">
        <f t="shared" si="4"/>
        <v>0</v>
      </c>
    </row>
    <row r="65">
      <c r="A65" s="23" t="s">
        <v>55</v>
      </c>
      <c r="B65" s="23" t="s">
        <v>98</v>
      </c>
      <c r="C65" s="24" t="s">
        <v>149</v>
      </c>
      <c r="D65" s="25">
        <v>1270000.0</v>
      </c>
      <c r="E65" s="26">
        <v>4.0</v>
      </c>
      <c r="F65" s="27">
        <v>30.0</v>
      </c>
      <c r="G65" s="28">
        <v>25.0</v>
      </c>
      <c r="O65" s="36"/>
      <c r="P65" s="41"/>
      <c r="Q65" s="1" t="s">
        <v>122</v>
      </c>
      <c r="R65" s="41"/>
      <c r="S65" s="30">
        <v>3.0</v>
      </c>
      <c r="T65" s="33">
        <f t="shared" si="1"/>
        <v>0.3</v>
      </c>
      <c r="U65" s="34">
        <f t="shared" si="2"/>
        <v>0.31</v>
      </c>
      <c r="V65" s="41">
        <f t="shared" si="3"/>
        <v>0</v>
      </c>
      <c r="W65" s="41">
        <f t="shared" si="4"/>
        <v>0</v>
      </c>
    </row>
    <row r="66">
      <c r="A66" s="23" t="s">
        <v>55</v>
      </c>
      <c r="B66" s="23" t="s">
        <v>98</v>
      </c>
      <c r="C66" s="24" t="s">
        <v>150</v>
      </c>
      <c r="D66" s="25">
        <v>1450000.0</v>
      </c>
      <c r="E66" s="26">
        <v>1.0</v>
      </c>
      <c r="F66" s="27">
        <v>23.0</v>
      </c>
      <c r="G66" s="28">
        <v>17.0</v>
      </c>
      <c r="O66" s="36"/>
      <c r="P66" s="41"/>
      <c r="Q66" s="1" t="s">
        <v>122</v>
      </c>
      <c r="R66" s="41"/>
      <c r="S66" s="30">
        <v>3.0</v>
      </c>
      <c r="T66" s="33">
        <f t="shared" si="1"/>
        <v>0.3</v>
      </c>
      <c r="U66" s="34">
        <f t="shared" si="2"/>
        <v>0.31</v>
      </c>
      <c r="V66" s="41">
        <f t="shared" si="3"/>
        <v>0</v>
      </c>
      <c r="W66" s="41">
        <f t="shared" si="4"/>
        <v>0</v>
      </c>
    </row>
    <row r="67">
      <c r="A67" s="23" t="s">
        <v>55</v>
      </c>
      <c r="B67" s="23" t="s">
        <v>98</v>
      </c>
      <c r="C67" s="24" t="s">
        <v>151</v>
      </c>
      <c r="D67" s="25">
        <v>1450000.0</v>
      </c>
      <c r="E67" s="26">
        <v>4.0</v>
      </c>
      <c r="F67" s="27">
        <v>23.0</v>
      </c>
      <c r="G67" s="28">
        <v>17.0</v>
      </c>
      <c r="O67" s="38"/>
      <c r="P67" s="41"/>
      <c r="Q67" s="1" t="s">
        <v>122</v>
      </c>
      <c r="R67" s="41"/>
      <c r="S67" s="30">
        <v>3.0</v>
      </c>
      <c r="T67" s="33">
        <f t="shared" si="1"/>
        <v>0.3</v>
      </c>
      <c r="U67" s="34">
        <f t="shared" si="2"/>
        <v>0.31</v>
      </c>
      <c r="V67" s="41">
        <f t="shared" si="3"/>
        <v>0</v>
      </c>
      <c r="W67" s="41">
        <f t="shared" si="4"/>
        <v>0</v>
      </c>
    </row>
    <row r="68">
      <c r="A68" s="23" t="s">
        <v>55</v>
      </c>
      <c r="B68" s="23" t="s">
        <v>98</v>
      </c>
      <c r="C68" s="24" t="s">
        <v>152</v>
      </c>
      <c r="D68" s="26">
        <v>980.0</v>
      </c>
      <c r="E68" s="26">
        <v>1.0</v>
      </c>
      <c r="F68" s="27">
        <v>35.0</v>
      </c>
      <c r="G68" s="28">
        <v>25.0</v>
      </c>
      <c r="O68" s="29">
        <v>46316.0</v>
      </c>
      <c r="P68" s="41"/>
      <c r="Q68" s="1" t="s">
        <v>122</v>
      </c>
      <c r="R68" s="41"/>
      <c r="S68" s="30">
        <v>3.0</v>
      </c>
      <c r="T68" s="33">
        <f t="shared" si="1"/>
        <v>0.3</v>
      </c>
      <c r="U68" s="34">
        <f t="shared" si="2"/>
        <v>0.31</v>
      </c>
      <c r="V68" s="41">
        <f t="shared" si="3"/>
        <v>0</v>
      </c>
      <c r="W68" s="41">
        <f t="shared" si="4"/>
        <v>0</v>
      </c>
    </row>
    <row r="69">
      <c r="A69" s="23" t="s">
        <v>55</v>
      </c>
      <c r="B69" s="23" t="s">
        <v>153</v>
      </c>
      <c r="C69" s="24" t="s">
        <v>154</v>
      </c>
      <c r="D69" s="25">
        <v>2599000.0</v>
      </c>
      <c r="E69" s="26">
        <v>2.0</v>
      </c>
      <c r="F69" s="27">
        <v>40.0</v>
      </c>
      <c r="G69" s="28" t="s">
        <v>155</v>
      </c>
      <c r="O69" s="36"/>
      <c r="P69" s="41"/>
      <c r="Q69" s="1" t="s">
        <v>122</v>
      </c>
      <c r="R69" s="41"/>
      <c r="S69" s="30">
        <v>3.0</v>
      </c>
      <c r="T69" s="33">
        <f t="shared" si="1"/>
        <v>0.3</v>
      </c>
      <c r="U69" s="34">
        <f t="shared" si="2"/>
        <v>0.31</v>
      </c>
      <c r="V69" s="41">
        <f t="shared" si="3"/>
        <v>0</v>
      </c>
      <c r="W69" s="41">
        <f t="shared" si="4"/>
        <v>0</v>
      </c>
    </row>
    <row r="70">
      <c r="A70" s="23" t="s">
        <v>55</v>
      </c>
      <c r="B70" s="23" t="s">
        <v>153</v>
      </c>
      <c r="C70" s="24" t="s">
        <v>156</v>
      </c>
      <c r="D70" s="25">
        <v>3299000.0</v>
      </c>
      <c r="E70" s="26">
        <v>1.0</v>
      </c>
      <c r="F70" s="27">
        <v>40.0</v>
      </c>
      <c r="G70" s="28" t="s">
        <v>155</v>
      </c>
      <c r="O70" s="36"/>
      <c r="P70" s="41"/>
      <c r="Q70" s="1" t="s">
        <v>122</v>
      </c>
      <c r="R70" s="41"/>
      <c r="S70" s="30">
        <v>3.0</v>
      </c>
      <c r="T70" s="33">
        <f t="shared" si="1"/>
        <v>0.3</v>
      </c>
      <c r="U70" s="34">
        <f t="shared" si="2"/>
        <v>0.31</v>
      </c>
      <c r="V70" s="41">
        <f t="shared" si="3"/>
        <v>0</v>
      </c>
      <c r="W70" s="41">
        <f t="shared" si="4"/>
        <v>0</v>
      </c>
    </row>
    <row r="71">
      <c r="A71" s="23" t="s">
        <v>55</v>
      </c>
      <c r="B71" s="23" t="s">
        <v>153</v>
      </c>
      <c r="C71" s="24" t="s">
        <v>157</v>
      </c>
      <c r="D71" s="25">
        <v>2599000.0</v>
      </c>
      <c r="E71" s="26">
        <v>3.0</v>
      </c>
      <c r="F71" s="27">
        <v>40.0</v>
      </c>
      <c r="G71" s="28" t="s">
        <v>155</v>
      </c>
      <c r="O71" s="36"/>
      <c r="P71" s="41"/>
      <c r="Q71" s="1" t="s">
        <v>122</v>
      </c>
      <c r="R71" s="41"/>
      <c r="S71" s="30">
        <v>3.0</v>
      </c>
      <c r="T71" s="33">
        <f t="shared" si="1"/>
        <v>0.3</v>
      </c>
      <c r="U71" s="34">
        <f t="shared" si="2"/>
        <v>0.31</v>
      </c>
      <c r="V71" s="41">
        <f t="shared" si="3"/>
        <v>0</v>
      </c>
      <c r="W71" s="41">
        <f t="shared" si="4"/>
        <v>0</v>
      </c>
    </row>
    <row r="72">
      <c r="A72" s="23" t="s">
        <v>55</v>
      </c>
      <c r="B72" s="23" t="s">
        <v>153</v>
      </c>
      <c r="C72" s="24" t="s">
        <v>158</v>
      </c>
      <c r="D72" s="25">
        <v>2729000.0</v>
      </c>
      <c r="E72" s="26">
        <v>1.0</v>
      </c>
      <c r="F72" s="27">
        <v>40.0</v>
      </c>
      <c r="G72" s="28" t="s">
        <v>155</v>
      </c>
      <c r="O72" s="38"/>
      <c r="P72" s="41"/>
      <c r="Q72" s="1" t="s">
        <v>122</v>
      </c>
      <c r="R72" s="41"/>
      <c r="S72" s="30">
        <v>3.0</v>
      </c>
      <c r="T72" s="33">
        <f t="shared" si="1"/>
        <v>0.3</v>
      </c>
      <c r="U72" s="34">
        <f t="shared" si="2"/>
        <v>0.31</v>
      </c>
      <c r="V72" s="41">
        <f t="shared" si="3"/>
        <v>0</v>
      </c>
      <c r="W72" s="41">
        <f t="shared" si="4"/>
        <v>0</v>
      </c>
    </row>
    <row r="73">
      <c r="A73" s="23" t="s">
        <v>55</v>
      </c>
      <c r="B73" s="23" t="s">
        <v>153</v>
      </c>
      <c r="C73" s="24" t="s">
        <v>159</v>
      </c>
      <c r="D73" s="25">
        <v>2729000.0</v>
      </c>
      <c r="E73" s="26">
        <v>5.0</v>
      </c>
      <c r="F73" s="27">
        <v>40.0</v>
      </c>
      <c r="G73" s="28" t="s">
        <v>155</v>
      </c>
      <c r="O73" s="29">
        <v>46317.0</v>
      </c>
      <c r="P73" s="41"/>
      <c r="Q73" s="1" t="s">
        <v>122</v>
      </c>
      <c r="R73" s="41"/>
      <c r="S73" s="30">
        <v>3.0</v>
      </c>
      <c r="T73" s="33">
        <f t="shared" si="1"/>
        <v>0.3</v>
      </c>
      <c r="U73" s="34">
        <f t="shared" si="2"/>
        <v>0.31</v>
      </c>
      <c r="V73" s="41">
        <f t="shared" si="3"/>
        <v>0</v>
      </c>
      <c r="W73" s="41">
        <f t="shared" si="4"/>
        <v>0</v>
      </c>
    </row>
    <row r="74">
      <c r="A74" s="23" t="s">
        <v>55</v>
      </c>
      <c r="B74" s="23" t="s">
        <v>153</v>
      </c>
      <c r="C74" s="24" t="s">
        <v>160</v>
      </c>
      <c r="D74" s="25">
        <v>2729000.0</v>
      </c>
      <c r="E74" s="26">
        <v>1.0</v>
      </c>
      <c r="F74" s="27">
        <v>40.0</v>
      </c>
      <c r="G74" s="28" t="s">
        <v>155</v>
      </c>
      <c r="O74" s="36"/>
      <c r="P74" s="41"/>
      <c r="Q74" s="1" t="s">
        <v>122</v>
      </c>
      <c r="R74" s="41"/>
      <c r="S74" s="30">
        <v>3.0</v>
      </c>
      <c r="T74" s="33">
        <f t="shared" si="1"/>
        <v>0.3</v>
      </c>
      <c r="U74" s="34">
        <f t="shared" si="2"/>
        <v>0.31</v>
      </c>
      <c r="V74" s="41">
        <f t="shared" si="3"/>
        <v>0</v>
      </c>
      <c r="W74" s="41">
        <f t="shared" si="4"/>
        <v>0</v>
      </c>
    </row>
    <row r="75">
      <c r="A75" s="23" t="s">
        <v>55</v>
      </c>
      <c r="B75" s="23" t="s">
        <v>153</v>
      </c>
      <c r="C75" s="24" t="s">
        <v>161</v>
      </c>
      <c r="D75" s="25">
        <v>2729000.0</v>
      </c>
      <c r="E75" s="26">
        <v>1.0</v>
      </c>
      <c r="F75" s="27">
        <v>40.0</v>
      </c>
      <c r="G75" s="28" t="s">
        <v>155</v>
      </c>
      <c r="O75" s="36"/>
      <c r="P75" s="41"/>
      <c r="Q75" s="1" t="s">
        <v>122</v>
      </c>
      <c r="R75" s="41"/>
      <c r="S75" s="30">
        <v>3.0</v>
      </c>
      <c r="T75" s="33">
        <f t="shared" si="1"/>
        <v>0.3</v>
      </c>
      <c r="U75" s="34">
        <f t="shared" si="2"/>
        <v>0.31</v>
      </c>
      <c r="V75" s="41">
        <f t="shared" si="3"/>
        <v>0</v>
      </c>
      <c r="W75" s="41">
        <f t="shared" si="4"/>
        <v>0</v>
      </c>
    </row>
    <row r="76">
      <c r="A76" s="23" t="s">
        <v>55</v>
      </c>
      <c r="B76" s="23" t="s">
        <v>153</v>
      </c>
      <c r="C76" s="24" t="s">
        <v>162</v>
      </c>
      <c r="D76" s="25">
        <v>2729000.0</v>
      </c>
      <c r="E76" s="26">
        <v>2.0</v>
      </c>
      <c r="F76" s="27">
        <v>40.0</v>
      </c>
      <c r="G76" s="28" t="s">
        <v>155</v>
      </c>
      <c r="O76" s="36"/>
      <c r="P76" s="41"/>
      <c r="Q76" s="1" t="s">
        <v>122</v>
      </c>
      <c r="R76" s="41"/>
      <c r="S76" s="30">
        <v>3.0</v>
      </c>
      <c r="T76" s="33">
        <f t="shared" si="1"/>
        <v>0.3</v>
      </c>
      <c r="U76" s="34">
        <f t="shared" si="2"/>
        <v>0.31</v>
      </c>
      <c r="V76" s="41">
        <f t="shared" si="3"/>
        <v>0</v>
      </c>
      <c r="W76" s="41">
        <f t="shared" si="4"/>
        <v>0</v>
      </c>
    </row>
    <row r="77">
      <c r="A77" s="23" t="s">
        <v>55</v>
      </c>
      <c r="B77" s="23" t="s">
        <v>153</v>
      </c>
      <c r="C77" s="24" t="s">
        <v>163</v>
      </c>
      <c r="D77" s="25">
        <v>2729000.0</v>
      </c>
      <c r="E77" s="26">
        <v>3.0</v>
      </c>
      <c r="F77" s="27">
        <v>40.0</v>
      </c>
      <c r="G77" s="28" t="s">
        <v>155</v>
      </c>
      <c r="O77" s="38"/>
      <c r="P77" s="41"/>
      <c r="Q77" s="1" t="s">
        <v>122</v>
      </c>
      <c r="R77" s="41"/>
      <c r="S77" s="30">
        <v>3.0</v>
      </c>
      <c r="T77" s="33">
        <f t="shared" si="1"/>
        <v>0.3</v>
      </c>
      <c r="U77" s="34">
        <f t="shared" si="2"/>
        <v>0.31</v>
      </c>
      <c r="V77" s="41">
        <f t="shared" si="3"/>
        <v>0</v>
      </c>
      <c r="W77" s="41">
        <f t="shared" si="4"/>
        <v>0</v>
      </c>
    </row>
    <row r="78">
      <c r="A78" s="23" t="s">
        <v>55</v>
      </c>
      <c r="B78" s="23" t="s">
        <v>153</v>
      </c>
      <c r="C78" s="24" t="s">
        <v>164</v>
      </c>
      <c r="D78" s="25">
        <v>2729000.0</v>
      </c>
      <c r="E78" s="26">
        <v>2.0</v>
      </c>
      <c r="F78" s="27">
        <v>40.0</v>
      </c>
      <c r="G78" s="28" t="s">
        <v>155</v>
      </c>
      <c r="O78" s="29">
        <v>46318.0</v>
      </c>
      <c r="P78" s="41"/>
      <c r="Q78" s="1" t="s">
        <v>122</v>
      </c>
      <c r="R78" s="41"/>
      <c r="S78" s="30">
        <v>3.0</v>
      </c>
      <c r="T78" s="33">
        <f t="shared" si="1"/>
        <v>0.3</v>
      </c>
      <c r="U78" s="34">
        <f t="shared" si="2"/>
        <v>0.31</v>
      </c>
      <c r="V78" s="41">
        <f t="shared" si="3"/>
        <v>0</v>
      </c>
      <c r="W78" s="41">
        <f t="shared" si="4"/>
        <v>0</v>
      </c>
    </row>
    <row r="79">
      <c r="A79" s="23" t="s">
        <v>55</v>
      </c>
      <c r="B79" s="23" t="s">
        <v>153</v>
      </c>
      <c r="C79" s="24" t="s">
        <v>165</v>
      </c>
      <c r="D79" s="25">
        <v>2729000.0</v>
      </c>
      <c r="E79" s="26">
        <v>7.0</v>
      </c>
      <c r="F79" s="27">
        <v>40.0</v>
      </c>
      <c r="G79" s="28" t="s">
        <v>155</v>
      </c>
      <c r="O79" s="36"/>
      <c r="P79" s="41"/>
      <c r="Q79" s="1" t="s">
        <v>122</v>
      </c>
      <c r="R79" s="41"/>
      <c r="S79" s="30">
        <v>3.0</v>
      </c>
      <c r="T79" s="33">
        <f t="shared" si="1"/>
        <v>0.3</v>
      </c>
      <c r="U79" s="34">
        <f t="shared" si="2"/>
        <v>0.31</v>
      </c>
      <c r="V79" s="41">
        <f t="shared" si="3"/>
        <v>0</v>
      </c>
      <c r="W79" s="41">
        <f t="shared" si="4"/>
        <v>0</v>
      </c>
    </row>
    <row r="80">
      <c r="A80" s="23" t="s">
        <v>55</v>
      </c>
      <c r="B80" s="23" t="s">
        <v>153</v>
      </c>
      <c r="C80" s="24" t="s">
        <v>166</v>
      </c>
      <c r="D80" s="25">
        <v>2599000.0</v>
      </c>
      <c r="E80" s="26">
        <v>1.0</v>
      </c>
      <c r="F80" s="27">
        <v>40.0</v>
      </c>
      <c r="G80" s="28" t="s">
        <v>155</v>
      </c>
      <c r="O80" s="36"/>
      <c r="P80" s="41"/>
      <c r="Q80" s="1" t="s">
        <v>122</v>
      </c>
      <c r="R80" s="41"/>
      <c r="S80" s="30">
        <v>3.0</v>
      </c>
      <c r="T80" s="33">
        <f t="shared" si="1"/>
        <v>0.3</v>
      </c>
      <c r="U80" s="34">
        <f t="shared" si="2"/>
        <v>0.31</v>
      </c>
      <c r="V80" s="41">
        <f t="shared" si="3"/>
        <v>0</v>
      </c>
      <c r="W80" s="41">
        <f t="shared" si="4"/>
        <v>0</v>
      </c>
    </row>
    <row r="81">
      <c r="A81" s="23" t="s">
        <v>55</v>
      </c>
      <c r="B81" s="23" t="s">
        <v>153</v>
      </c>
      <c r="C81" s="24" t="s">
        <v>167</v>
      </c>
      <c r="D81" s="25">
        <v>2729000.0</v>
      </c>
      <c r="E81" s="26">
        <v>3.0</v>
      </c>
      <c r="F81" s="27">
        <v>40.0</v>
      </c>
      <c r="G81" s="28" t="s">
        <v>155</v>
      </c>
      <c r="O81" s="36"/>
      <c r="P81" s="41"/>
      <c r="Q81" s="1" t="s">
        <v>122</v>
      </c>
      <c r="R81" s="41"/>
      <c r="S81" s="30">
        <v>3.0</v>
      </c>
      <c r="T81" s="33">
        <f t="shared" si="1"/>
        <v>0.3</v>
      </c>
      <c r="U81" s="34">
        <f t="shared" si="2"/>
        <v>0.31</v>
      </c>
      <c r="V81" s="41">
        <f t="shared" si="3"/>
        <v>0</v>
      </c>
      <c r="W81" s="41">
        <f t="shared" si="4"/>
        <v>0</v>
      </c>
    </row>
    <row r="82">
      <c r="A82" s="23" t="s">
        <v>55</v>
      </c>
      <c r="B82" s="23" t="s">
        <v>153</v>
      </c>
      <c r="C82" s="24" t="s">
        <v>168</v>
      </c>
      <c r="D82" s="25">
        <v>2729000.0</v>
      </c>
      <c r="E82" s="26">
        <v>3.0</v>
      </c>
      <c r="F82" s="27">
        <v>40.0</v>
      </c>
      <c r="G82" s="28" t="s">
        <v>155</v>
      </c>
      <c r="O82" s="38"/>
      <c r="P82" s="41"/>
      <c r="Q82" s="1" t="s">
        <v>122</v>
      </c>
      <c r="R82" s="41"/>
      <c r="S82" s="30">
        <v>3.0</v>
      </c>
      <c r="T82" s="33">
        <f t="shared" si="1"/>
        <v>0.3</v>
      </c>
      <c r="U82" s="34">
        <f t="shared" si="2"/>
        <v>0.31</v>
      </c>
      <c r="V82" s="41">
        <f t="shared" si="3"/>
        <v>0</v>
      </c>
      <c r="W82" s="41">
        <f t="shared" si="4"/>
        <v>0</v>
      </c>
    </row>
    <row r="83">
      <c r="A83" s="23" t="s">
        <v>55</v>
      </c>
      <c r="B83" s="23" t="s">
        <v>153</v>
      </c>
      <c r="C83" s="24" t="s">
        <v>169</v>
      </c>
      <c r="D83" s="25">
        <v>2729000.0</v>
      </c>
      <c r="E83" s="26">
        <v>4.0</v>
      </c>
      <c r="F83" s="27">
        <v>40.0</v>
      </c>
      <c r="G83" s="28" t="s">
        <v>155</v>
      </c>
      <c r="O83" s="29">
        <v>46319.0</v>
      </c>
      <c r="P83" s="41"/>
      <c r="Q83" s="1" t="s">
        <v>122</v>
      </c>
      <c r="R83" s="41"/>
      <c r="S83" s="30">
        <v>3.0</v>
      </c>
      <c r="T83" s="33">
        <f t="shared" si="1"/>
        <v>0.3</v>
      </c>
      <c r="U83" s="34">
        <f t="shared" si="2"/>
        <v>0.31</v>
      </c>
      <c r="V83" s="41">
        <f t="shared" si="3"/>
        <v>0</v>
      </c>
      <c r="W83" s="41">
        <f t="shared" si="4"/>
        <v>0</v>
      </c>
    </row>
    <row r="84">
      <c r="A84" s="23" t="s">
        <v>55</v>
      </c>
      <c r="B84" s="23" t="s">
        <v>153</v>
      </c>
      <c r="C84" s="24" t="s">
        <v>170</v>
      </c>
      <c r="D84" s="25">
        <v>2569000.0</v>
      </c>
      <c r="E84" s="26">
        <v>1.0</v>
      </c>
      <c r="F84" s="27">
        <v>40.0</v>
      </c>
      <c r="G84" s="28" t="s">
        <v>155</v>
      </c>
      <c r="O84" s="36"/>
      <c r="P84" s="41"/>
      <c r="Q84" s="1" t="s">
        <v>122</v>
      </c>
      <c r="R84" s="41"/>
      <c r="S84" s="30">
        <v>3.0</v>
      </c>
      <c r="T84" s="33">
        <f t="shared" si="1"/>
        <v>0.3</v>
      </c>
      <c r="U84" s="34">
        <f t="shared" si="2"/>
        <v>0.31</v>
      </c>
      <c r="V84" s="41">
        <f t="shared" si="3"/>
        <v>0</v>
      </c>
      <c r="W84" s="41">
        <f t="shared" si="4"/>
        <v>0</v>
      </c>
    </row>
    <row r="85">
      <c r="A85" s="23" t="s">
        <v>55</v>
      </c>
      <c r="B85" s="23" t="s">
        <v>153</v>
      </c>
      <c r="C85" s="24" t="s">
        <v>171</v>
      </c>
      <c r="D85" s="25">
        <v>2599000.0</v>
      </c>
      <c r="E85" s="26">
        <v>1.0</v>
      </c>
      <c r="F85" s="27">
        <v>40.0</v>
      </c>
      <c r="G85" s="28" t="s">
        <v>155</v>
      </c>
      <c r="O85" s="36"/>
      <c r="P85" s="41"/>
      <c r="Q85" s="1" t="s">
        <v>122</v>
      </c>
      <c r="R85" s="41"/>
      <c r="S85" s="30">
        <v>3.0</v>
      </c>
      <c r="T85" s="33">
        <f t="shared" si="1"/>
        <v>0.3</v>
      </c>
      <c r="U85" s="34">
        <f t="shared" si="2"/>
        <v>0.31</v>
      </c>
      <c r="V85" s="41">
        <f t="shared" si="3"/>
        <v>0</v>
      </c>
      <c r="W85" s="41">
        <f t="shared" si="4"/>
        <v>0</v>
      </c>
    </row>
    <row r="86">
      <c r="A86" s="23" t="s">
        <v>55</v>
      </c>
      <c r="B86" s="23" t="s">
        <v>153</v>
      </c>
      <c r="C86" s="24" t="s">
        <v>172</v>
      </c>
      <c r="D86" s="25">
        <v>3089000.0</v>
      </c>
      <c r="E86" s="26">
        <v>3.0</v>
      </c>
      <c r="F86" s="27">
        <v>40.0</v>
      </c>
      <c r="G86" s="28" t="s">
        <v>155</v>
      </c>
      <c r="O86" s="36"/>
      <c r="P86" s="41"/>
      <c r="Q86" s="1" t="s">
        <v>122</v>
      </c>
      <c r="R86" s="41"/>
      <c r="S86" s="30">
        <v>3.0</v>
      </c>
      <c r="T86" s="33">
        <f t="shared" si="1"/>
        <v>0.3</v>
      </c>
      <c r="U86" s="34">
        <f t="shared" si="2"/>
        <v>0.31</v>
      </c>
      <c r="V86" s="41">
        <f t="shared" si="3"/>
        <v>0</v>
      </c>
      <c r="W86" s="41">
        <f t="shared" si="4"/>
        <v>0</v>
      </c>
    </row>
    <row r="87">
      <c r="A87" s="23" t="s">
        <v>55</v>
      </c>
      <c r="B87" s="23" t="s">
        <v>153</v>
      </c>
      <c r="C87" s="24" t="s">
        <v>173</v>
      </c>
      <c r="D87" s="25">
        <v>2729000.0</v>
      </c>
      <c r="E87" s="26">
        <v>6.0</v>
      </c>
      <c r="F87" s="27">
        <v>40.0</v>
      </c>
      <c r="G87" s="28" t="s">
        <v>155</v>
      </c>
      <c r="O87" s="38"/>
      <c r="P87" s="41"/>
      <c r="Q87" s="1" t="s">
        <v>122</v>
      </c>
      <c r="R87" s="41"/>
      <c r="S87" s="30">
        <v>3.0</v>
      </c>
      <c r="T87" s="33">
        <f t="shared" si="1"/>
        <v>0.3</v>
      </c>
      <c r="U87" s="34">
        <f t="shared" si="2"/>
        <v>0.31</v>
      </c>
      <c r="V87" s="41">
        <f t="shared" si="3"/>
        <v>0</v>
      </c>
      <c r="W87" s="41">
        <f t="shared" si="4"/>
        <v>0</v>
      </c>
    </row>
    <row r="88">
      <c r="A88" s="23" t="s">
        <v>55</v>
      </c>
      <c r="B88" s="23" t="s">
        <v>153</v>
      </c>
      <c r="C88" s="24" t="s">
        <v>174</v>
      </c>
      <c r="D88" s="25">
        <v>2599000.0</v>
      </c>
      <c r="E88" s="26">
        <v>1.0</v>
      </c>
      <c r="F88" s="27">
        <v>40.0</v>
      </c>
      <c r="G88" s="28" t="s">
        <v>155</v>
      </c>
      <c r="O88" s="29">
        <v>46320.0</v>
      </c>
      <c r="P88" s="41"/>
      <c r="Q88" s="1" t="s">
        <v>122</v>
      </c>
      <c r="R88" s="41"/>
      <c r="S88" s="30">
        <v>3.0</v>
      </c>
      <c r="T88" s="33">
        <f t="shared" si="1"/>
        <v>0.3</v>
      </c>
      <c r="U88" s="34">
        <f t="shared" si="2"/>
        <v>0.31</v>
      </c>
      <c r="V88" s="41">
        <f t="shared" si="3"/>
        <v>0</v>
      </c>
      <c r="W88" s="41">
        <f t="shared" si="4"/>
        <v>0</v>
      </c>
    </row>
    <row r="89">
      <c r="A89" s="23" t="s">
        <v>55</v>
      </c>
      <c r="B89" s="23" t="s">
        <v>153</v>
      </c>
      <c r="C89" s="24" t="s">
        <v>175</v>
      </c>
      <c r="D89" s="25">
        <v>1959000.0</v>
      </c>
      <c r="E89" s="26">
        <v>1.0</v>
      </c>
      <c r="F89" s="27">
        <v>40.0</v>
      </c>
      <c r="G89" s="28" t="s">
        <v>155</v>
      </c>
      <c r="O89" s="36"/>
      <c r="P89" s="41"/>
      <c r="Q89" s="1" t="s">
        <v>122</v>
      </c>
      <c r="R89" s="41"/>
      <c r="S89" s="30">
        <v>3.0</v>
      </c>
      <c r="T89" s="33">
        <f t="shared" si="1"/>
        <v>0.3</v>
      </c>
      <c r="U89" s="34">
        <f t="shared" si="2"/>
        <v>0.31</v>
      </c>
      <c r="V89" s="41">
        <f t="shared" si="3"/>
        <v>0</v>
      </c>
      <c r="W89" s="41">
        <f t="shared" si="4"/>
        <v>0</v>
      </c>
    </row>
    <row r="90">
      <c r="A90" s="23" t="s">
        <v>55</v>
      </c>
      <c r="B90" s="23" t="s">
        <v>153</v>
      </c>
      <c r="C90" s="24" t="s">
        <v>176</v>
      </c>
      <c r="D90" s="25">
        <v>2059000.0</v>
      </c>
      <c r="E90" s="26">
        <v>1.0</v>
      </c>
      <c r="F90" s="27">
        <v>40.0</v>
      </c>
      <c r="G90" s="28" t="s">
        <v>155</v>
      </c>
      <c r="O90" s="36"/>
      <c r="P90" s="41"/>
      <c r="Q90" s="1" t="s">
        <v>122</v>
      </c>
      <c r="R90" s="41"/>
      <c r="S90" s="30">
        <v>3.0</v>
      </c>
      <c r="T90" s="33">
        <f t="shared" si="1"/>
        <v>0.3</v>
      </c>
      <c r="U90" s="34">
        <f t="shared" si="2"/>
        <v>0.31</v>
      </c>
      <c r="V90" s="41">
        <f t="shared" si="3"/>
        <v>0</v>
      </c>
      <c r="W90" s="41">
        <f t="shared" si="4"/>
        <v>0</v>
      </c>
    </row>
    <row r="91">
      <c r="A91" s="23" t="s">
        <v>55</v>
      </c>
      <c r="B91" s="23" t="s">
        <v>153</v>
      </c>
      <c r="C91" s="24" t="s">
        <v>177</v>
      </c>
      <c r="D91" s="25">
        <v>2599000.0</v>
      </c>
      <c r="E91" s="26">
        <v>2.0</v>
      </c>
      <c r="F91" s="27">
        <v>40.0</v>
      </c>
      <c r="G91" s="28" t="s">
        <v>155</v>
      </c>
      <c r="O91" s="36"/>
      <c r="P91" s="41"/>
      <c r="Q91" s="1" t="s">
        <v>122</v>
      </c>
      <c r="R91" s="41"/>
      <c r="S91" s="30">
        <v>3.0</v>
      </c>
      <c r="T91" s="33">
        <f t="shared" si="1"/>
        <v>0.3</v>
      </c>
      <c r="U91" s="34">
        <f t="shared" si="2"/>
        <v>0.31</v>
      </c>
      <c r="V91" s="41">
        <f t="shared" si="3"/>
        <v>0</v>
      </c>
      <c r="W91" s="41">
        <f t="shared" si="4"/>
        <v>0</v>
      </c>
    </row>
    <row r="92">
      <c r="A92" s="23" t="s">
        <v>55</v>
      </c>
      <c r="B92" s="23" t="s">
        <v>153</v>
      </c>
      <c r="C92" s="24" t="s">
        <v>178</v>
      </c>
      <c r="D92" s="25">
        <v>2759000.0</v>
      </c>
      <c r="E92" s="26">
        <v>1.0</v>
      </c>
      <c r="F92" s="27">
        <v>40.0</v>
      </c>
      <c r="G92" s="28" t="s">
        <v>155</v>
      </c>
      <c r="O92" s="38"/>
      <c r="P92" s="41"/>
      <c r="Q92" s="1" t="s">
        <v>122</v>
      </c>
      <c r="R92" s="41"/>
      <c r="S92" s="30">
        <v>3.0</v>
      </c>
      <c r="T92" s="33">
        <f t="shared" si="1"/>
        <v>0.3</v>
      </c>
      <c r="U92" s="34">
        <f t="shared" si="2"/>
        <v>0.31</v>
      </c>
      <c r="V92" s="41">
        <f t="shared" si="3"/>
        <v>0</v>
      </c>
      <c r="W92" s="41">
        <f t="shared" si="4"/>
        <v>0</v>
      </c>
    </row>
    <row r="93">
      <c r="A93" s="23" t="s">
        <v>55</v>
      </c>
      <c r="B93" s="23" t="s">
        <v>153</v>
      </c>
      <c r="C93" s="24" t="s">
        <v>179</v>
      </c>
      <c r="D93" s="25">
        <v>2279000.0</v>
      </c>
      <c r="E93" s="26">
        <v>7.0</v>
      </c>
      <c r="F93" s="27">
        <v>40.0</v>
      </c>
      <c r="G93" s="28" t="s">
        <v>155</v>
      </c>
      <c r="O93" s="29">
        <v>46321.0</v>
      </c>
      <c r="P93" s="41"/>
      <c r="Q93" s="1" t="s">
        <v>122</v>
      </c>
      <c r="R93" s="41"/>
      <c r="S93" s="30">
        <v>3.0</v>
      </c>
      <c r="T93" s="33">
        <f t="shared" si="1"/>
        <v>0.3</v>
      </c>
      <c r="U93" s="34">
        <f t="shared" si="2"/>
        <v>0.31</v>
      </c>
      <c r="V93" s="41">
        <f t="shared" si="3"/>
        <v>0</v>
      </c>
      <c r="W93" s="41">
        <f t="shared" si="4"/>
        <v>0</v>
      </c>
    </row>
    <row r="94">
      <c r="A94" s="23" t="s">
        <v>55</v>
      </c>
      <c r="B94" s="23" t="s">
        <v>153</v>
      </c>
      <c r="C94" s="24" t="s">
        <v>180</v>
      </c>
      <c r="D94" s="25">
        <v>2279000.0</v>
      </c>
      <c r="E94" s="26">
        <v>2.0</v>
      </c>
      <c r="F94" s="27">
        <v>40.0</v>
      </c>
      <c r="G94" s="28" t="s">
        <v>155</v>
      </c>
      <c r="O94" s="36"/>
      <c r="P94" s="41"/>
      <c r="Q94" s="1" t="s">
        <v>122</v>
      </c>
      <c r="R94" s="41"/>
      <c r="S94" s="30">
        <v>3.0</v>
      </c>
      <c r="T94" s="33">
        <f t="shared" si="1"/>
        <v>0.3</v>
      </c>
      <c r="U94" s="34">
        <f t="shared" si="2"/>
        <v>0.31</v>
      </c>
      <c r="V94" s="41">
        <f t="shared" si="3"/>
        <v>0</v>
      </c>
      <c r="W94" s="41">
        <f t="shared" si="4"/>
        <v>0</v>
      </c>
    </row>
    <row r="95">
      <c r="A95" s="23" t="s">
        <v>55</v>
      </c>
      <c r="B95" s="23" t="s">
        <v>153</v>
      </c>
      <c r="C95" s="24" t="s">
        <v>181</v>
      </c>
      <c r="D95" s="25">
        <v>2279000.0</v>
      </c>
      <c r="E95" s="26">
        <v>2.0</v>
      </c>
      <c r="F95" s="27">
        <v>40.0</v>
      </c>
      <c r="G95" s="28" t="s">
        <v>155</v>
      </c>
      <c r="O95" s="36"/>
      <c r="P95" s="41"/>
      <c r="Q95" s="1" t="s">
        <v>122</v>
      </c>
      <c r="R95" s="41"/>
      <c r="S95" s="30">
        <v>3.0</v>
      </c>
      <c r="T95" s="33">
        <f t="shared" si="1"/>
        <v>0.3</v>
      </c>
      <c r="U95" s="34">
        <f t="shared" si="2"/>
        <v>0.31</v>
      </c>
      <c r="V95" s="41">
        <f t="shared" si="3"/>
        <v>0</v>
      </c>
      <c r="W95" s="41">
        <f t="shared" si="4"/>
        <v>0</v>
      </c>
    </row>
    <row r="96">
      <c r="A96" s="23" t="s">
        <v>55</v>
      </c>
      <c r="B96" s="23" t="s">
        <v>153</v>
      </c>
      <c r="C96" s="24" t="s">
        <v>182</v>
      </c>
      <c r="D96" s="25">
        <v>2659000.0</v>
      </c>
      <c r="E96" s="26">
        <v>6.0</v>
      </c>
      <c r="F96" s="27">
        <v>40.0</v>
      </c>
      <c r="G96" s="28" t="s">
        <v>155</v>
      </c>
      <c r="O96" s="36"/>
      <c r="P96" s="41"/>
      <c r="Q96" s="1" t="s">
        <v>122</v>
      </c>
      <c r="R96" s="41"/>
      <c r="S96" s="30">
        <v>3.0</v>
      </c>
      <c r="T96" s="33">
        <f t="shared" si="1"/>
        <v>0.3</v>
      </c>
      <c r="U96" s="34">
        <f t="shared" si="2"/>
        <v>0.31</v>
      </c>
      <c r="V96" s="41">
        <f t="shared" si="3"/>
        <v>0</v>
      </c>
      <c r="W96" s="41">
        <f t="shared" si="4"/>
        <v>0</v>
      </c>
    </row>
    <row r="97">
      <c r="A97" s="23" t="s">
        <v>55</v>
      </c>
      <c r="B97" s="23" t="s">
        <v>153</v>
      </c>
      <c r="C97" s="24" t="s">
        <v>183</v>
      </c>
      <c r="D97" s="25">
        <v>1819000.0</v>
      </c>
      <c r="E97" s="26">
        <v>4.0</v>
      </c>
      <c r="F97" s="27">
        <v>40.0</v>
      </c>
      <c r="G97" s="28" t="s">
        <v>155</v>
      </c>
      <c r="O97" s="38"/>
      <c r="P97" s="41"/>
      <c r="Q97" s="1" t="s">
        <v>122</v>
      </c>
      <c r="R97" s="41"/>
      <c r="S97" s="30">
        <v>3.0</v>
      </c>
      <c r="T97" s="33">
        <f t="shared" si="1"/>
        <v>0.3</v>
      </c>
      <c r="U97" s="34">
        <f t="shared" si="2"/>
        <v>0.31</v>
      </c>
      <c r="V97" s="41">
        <f t="shared" si="3"/>
        <v>0</v>
      </c>
      <c r="W97" s="41">
        <f t="shared" si="4"/>
        <v>0</v>
      </c>
    </row>
    <row r="98">
      <c r="A98" s="23" t="s">
        <v>55</v>
      </c>
      <c r="B98" s="23" t="s">
        <v>184</v>
      </c>
      <c r="C98" s="24" t="s">
        <v>185</v>
      </c>
      <c r="D98" s="25">
        <v>7800000.0</v>
      </c>
      <c r="E98" s="26">
        <v>1.0</v>
      </c>
      <c r="F98" s="27">
        <v>70.0</v>
      </c>
      <c r="G98" s="28">
        <v>60.0</v>
      </c>
      <c r="O98" s="29">
        <v>46322.0</v>
      </c>
      <c r="P98" s="41"/>
      <c r="Q98" s="1" t="s">
        <v>122</v>
      </c>
      <c r="R98" s="41"/>
      <c r="S98" s="30">
        <v>3.0</v>
      </c>
      <c r="T98" s="33">
        <f t="shared" si="1"/>
        <v>0.3</v>
      </c>
      <c r="U98" s="34">
        <f t="shared" si="2"/>
        <v>0.31</v>
      </c>
      <c r="V98" s="41">
        <f t="shared" si="3"/>
        <v>0</v>
      </c>
      <c r="W98" s="41">
        <f t="shared" si="4"/>
        <v>0</v>
      </c>
    </row>
    <row r="99">
      <c r="A99" s="23" t="s">
        <v>55</v>
      </c>
      <c r="B99" s="23" t="s">
        <v>186</v>
      </c>
      <c r="C99" s="24" t="s">
        <v>187</v>
      </c>
      <c r="D99" s="25">
        <v>4180000.0</v>
      </c>
      <c r="E99" s="26">
        <v>1.0</v>
      </c>
      <c r="F99" s="27">
        <v>60.0</v>
      </c>
      <c r="G99" s="28" t="s">
        <v>155</v>
      </c>
      <c r="O99" s="36"/>
      <c r="P99" s="41"/>
      <c r="Q99" s="1" t="s">
        <v>122</v>
      </c>
      <c r="R99" s="41"/>
      <c r="S99" s="30">
        <v>3.0</v>
      </c>
      <c r="T99" s="33">
        <f t="shared" si="1"/>
        <v>0.3</v>
      </c>
      <c r="U99" s="34">
        <f t="shared" si="2"/>
        <v>0.31</v>
      </c>
      <c r="V99" s="41">
        <f t="shared" si="3"/>
        <v>0</v>
      </c>
      <c r="W99" s="41">
        <f t="shared" si="4"/>
        <v>0</v>
      </c>
    </row>
    <row r="100">
      <c r="A100" s="23" t="s">
        <v>55</v>
      </c>
      <c r="B100" s="23" t="s">
        <v>63</v>
      </c>
      <c r="C100" s="24" t="s">
        <v>188</v>
      </c>
      <c r="D100" s="26">
        <v>969.0</v>
      </c>
      <c r="E100" s="26">
        <v>1.0</v>
      </c>
      <c r="F100" s="27">
        <v>30.0</v>
      </c>
      <c r="G100" s="28" t="s">
        <v>155</v>
      </c>
      <c r="O100" s="36"/>
      <c r="P100" s="41"/>
      <c r="Q100" s="1" t="s">
        <v>122</v>
      </c>
      <c r="R100" s="41"/>
      <c r="S100" s="30">
        <v>3.0</v>
      </c>
      <c r="T100" s="33">
        <f t="shared" si="1"/>
        <v>0.3</v>
      </c>
      <c r="U100" s="34">
        <f t="shared" si="2"/>
        <v>0.31</v>
      </c>
      <c r="V100" s="41">
        <f t="shared" si="3"/>
        <v>0</v>
      </c>
      <c r="W100" s="41">
        <f t="shared" si="4"/>
        <v>0</v>
      </c>
    </row>
    <row r="101">
      <c r="A101" s="23" t="s">
        <v>55</v>
      </c>
      <c r="B101" s="23" t="s">
        <v>63</v>
      </c>
      <c r="C101" s="24" t="s">
        <v>189</v>
      </c>
      <c r="D101" s="26">
        <v>969.0</v>
      </c>
      <c r="E101" s="26">
        <v>6.0</v>
      </c>
      <c r="F101" s="27">
        <v>30.0</v>
      </c>
      <c r="G101" s="28" t="s">
        <v>155</v>
      </c>
      <c r="O101" s="36"/>
      <c r="P101" s="41"/>
      <c r="Q101" s="1" t="s">
        <v>122</v>
      </c>
      <c r="R101" s="41"/>
      <c r="S101" s="30">
        <v>3.0</v>
      </c>
      <c r="T101" s="33">
        <f t="shared" si="1"/>
        <v>0.3</v>
      </c>
      <c r="U101" s="34">
        <f t="shared" si="2"/>
        <v>0.31</v>
      </c>
      <c r="V101" s="41">
        <f t="shared" si="3"/>
        <v>0</v>
      </c>
      <c r="W101" s="41">
        <f t="shared" si="4"/>
        <v>0</v>
      </c>
    </row>
    <row r="102">
      <c r="A102" s="23" t="s">
        <v>55</v>
      </c>
      <c r="B102" s="23" t="s">
        <v>63</v>
      </c>
      <c r="C102" s="24" t="s">
        <v>190</v>
      </c>
      <c r="D102" s="25">
        <v>1539000.0</v>
      </c>
      <c r="E102" s="26">
        <v>5.0</v>
      </c>
      <c r="F102" s="27">
        <v>30.0</v>
      </c>
      <c r="G102" s="28" t="s">
        <v>155</v>
      </c>
      <c r="O102" s="38"/>
      <c r="P102" s="41"/>
      <c r="Q102" s="1" t="s">
        <v>122</v>
      </c>
      <c r="R102" s="41"/>
      <c r="S102" s="30">
        <v>3.0</v>
      </c>
      <c r="T102" s="33">
        <f t="shared" si="1"/>
        <v>0.3</v>
      </c>
      <c r="U102" s="34">
        <f t="shared" si="2"/>
        <v>0.31</v>
      </c>
      <c r="V102" s="41">
        <f t="shared" si="3"/>
        <v>0</v>
      </c>
      <c r="W102" s="41">
        <f t="shared" si="4"/>
        <v>0</v>
      </c>
    </row>
    <row r="103">
      <c r="A103" s="23" t="s">
        <v>55</v>
      </c>
      <c r="B103" s="23" t="s">
        <v>63</v>
      </c>
      <c r="C103" s="24" t="s">
        <v>191</v>
      </c>
      <c r="D103" s="25">
        <v>1989000.0</v>
      </c>
      <c r="E103" s="26">
        <v>5.0</v>
      </c>
      <c r="F103" s="27">
        <v>30.0</v>
      </c>
      <c r="G103" s="28" t="s">
        <v>155</v>
      </c>
      <c r="O103" s="29">
        <v>46323.0</v>
      </c>
      <c r="P103" s="41"/>
      <c r="Q103" s="1" t="s">
        <v>122</v>
      </c>
      <c r="R103" s="41"/>
      <c r="S103" s="30">
        <v>3.0</v>
      </c>
      <c r="T103" s="33">
        <f t="shared" si="1"/>
        <v>0.3</v>
      </c>
      <c r="U103" s="34">
        <f t="shared" si="2"/>
        <v>0.31</v>
      </c>
      <c r="V103" s="41">
        <f t="shared" si="3"/>
        <v>0</v>
      </c>
      <c r="W103" s="41">
        <f t="shared" si="4"/>
        <v>0</v>
      </c>
    </row>
    <row r="104">
      <c r="A104" s="23" t="s">
        <v>55</v>
      </c>
      <c r="B104" s="23" t="s">
        <v>63</v>
      </c>
      <c r="C104" s="24" t="s">
        <v>192</v>
      </c>
      <c r="D104" s="25">
        <v>1509000.0</v>
      </c>
      <c r="E104" s="26">
        <v>2.0</v>
      </c>
      <c r="F104" s="27">
        <v>30.0</v>
      </c>
      <c r="G104" s="28" t="s">
        <v>155</v>
      </c>
      <c r="O104" s="36"/>
      <c r="P104" s="41"/>
      <c r="Q104" s="1" t="s">
        <v>122</v>
      </c>
      <c r="R104" s="41"/>
      <c r="S104" s="30">
        <v>3.0</v>
      </c>
      <c r="T104" s="33">
        <f t="shared" si="1"/>
        <v>0.3</v>
      </c>
      <c r="U104" s="34">
        <f t="shared" si="2"/>
        <v>0.31</v>
      </c>
      <c r="V104" s="41">
        <f t="shared" si="3"/>
        <v>0</v>
      </c>
      <c r="W104" s="41">
        <f t="shared" si="4"/>
        <v>0</v>
      </c>
    </row>
    <row r="105">
      <c r="A105" s="23" t="s">
        <v>55</v>
      </c>
      <c r="B105" s="23" t="s">
        <v>63</v>
      </c>
      <c r="C105" s="24" t="s">
        <v>193</v>
      </c>
      <c r="D105" s="26">
        <v>919.0</v>
      </c>
      <c r="E105" s="26">
        <v>1.0</v>
      </c>
      <c r="F105" s="27">
        <v>30.0</v>
      </c>
      <c r="G105" s="28" t="s">
        <v>155</v>
      </c>
      <c r="O105" s="36"/>
      <c r="P105" s="41"/>
      <c r="Q105" s="1" t="s">
        <v>122</v>
      </c>
      <c r="R105" s="41"/>
      <c r="S105" s="30">
        <v>3.0</v>
      </c>
      <c r="T105" s="33">
        <f t="shared" si="1"/>
        <v>0.3</v>
      </c>
      <c r="U105" s="34">
        <f t="shared" si="2"/>
        <v>0.31</v>
      </c>
      <c r="V105" s="41">
        <f t="shared" si="3"/>
        <v>0</v>
      </c>
      <c r="W105" s="41">
        <f t="shared" si="4"/>
        <v>0</v>
      </c>
    </row>
    <row r="106">
      <c r="A106" s="23" t="s">
        <v>55</v>
      </c>
      <c r="B106" s="23" t="s">
        <v>63</v>
      </c>
      <c r="C106" s="24" t="s">
        <v>194</v>
      </c>
      <c r="D106" s="26">
        <v>619.0</v>
      </c>
      <c r="E106" s="26">
        <v>8.0</v>
      </c>
      <c r="F106" s="27">
        <v>30.0</v>
      </c>
      <c r="G106" s="28" t="s">
        <v>155</v>
      </c>
      <c r="O106" s="36"/>
      <c r="P106" s="41"/>
      <c r="Q106" s="1" t="s">
        <v>122</v>
      </c>
      <c r="R106" s="41"/>
      <c r="S106" s="30">
        <v>3.0</v>
      </c>
      <c r="T106" s="33">
        <f t="shared" si="1"/>
        <v>0.3</v>
      </c>
      <c r="U106" s="34">
        <f t="shared" si="2"/>
        <v>0.31</v>
      </c>
      <c r="V106" s="41">
        <f t="shared" si="3"/>
        <v>0</v>
      </c>
      <c r="W106" s="41">
        <f t="shared" si="4"/>
        <v>0</v>
      </c>
    </row>
    <row r="107">
      <c r="A107" s="23" t="s">
        <v>55</v>
      </c>
      <c r="B107" s="23" t="s">
        <v>63</v>
      </c>
      <c r="C107" s="24" t="s">
        <v>195</v>
      </c>
      <c r="D107" s="26">
        <v>619.0</v>
      </c>
      <c r="E107" s="26">
        <v>13.0</v>
      </c>
      <c r="F107" s="27">
        <v>30.0</v>
      </c>
      <c r="G107" s="28" t="s">
        <v>155</v>
      </c>
      <c r="O107" s="38"/>
      <c r="P107" s="41"/>
      <c r="Q107" s="1" t="s">
        <v>122</v>
      </c>
      <c r="R107" s="41"/>
      <c r="S107" s="30">
        <v>3.0</v>
      </c>
      <c r="T107" s="33">
        <f t="shared" si="1"/>
        <v>0.3</v>
      </c>
      <c r="U107" s="34">
        <f t="shared" si="2"/>
        <v>0.31</v>
      </c>
      <c r="V107" s="41">
        <f t="shared" si="3"/>
        <v>0</v>
      </c>
      <c r="W107" s="41">
        <f t="shared" si="4"/>
        <v>0</v>
      </c>
    </row>
    <row r="108">
      <c r="A108" s="23" t="s">
        <v>55</v>
      </c>
      <c r="B108" s="23" t="s">
        <v>63</v>
      </c>
      <c r="C108" s="24" t="s">
        <v>196</v>
      </c>
      <c r="D108" s="26">
        <v>619.0</v>
      </c>
      <c r="E108" s="26">
        <v>15.0</v>
      </c>
      <c r="F108" s="27">
        <v>30.0</v>
      </c>
      <c r="G108" s="28" t="s">
        <v>155</v>
      </c>
      <c r="O108" s="29">
        <v>46324.0</v>
      </c>
      <c r="P108" s="41"/>
      <c r="Q108" s="1" t="s">
        <v>122</v>
      </c>
      <c r="R108" s="41"/>
      <c r="S108" s="30">
        <v>3.0</v>
      </c>
      <c r="T108" s="33">
        <f t="shared" si="1"/>
        <v>0.3</v>
      </c>
      <c r="U108" s="34">
        <f t="shared" si="2"/>
        <v>0.31</v>
      </c>
      <c r="V108" s="41">
        <f t="shared" si="3"/>
        <v>0</v>
      </c>
      <c r="W108" s="41">
        <f t="shared" si="4"/>
        <v>0</v>
      </c>
    </row>
    <row r="109">
      <c r="A109" s="23" t="s">
        <v>55</v>
      </c>
      <c r="B109" s="23" t="s">
        <v>63</v>
      </c>
      <c r="C109" s="24" t="s">
        <v>197</v>
      </c>
      <c r="D109" s="26">
        <v>619.0</v>
      </c>
      <c r="E109" s="26">
        <v>9.0</v>
      </c>
      <c r="F109" s="27">
        <v>30.0</v>
      </c>
      <c r="G109" s="28" t="s">
        <v>155</v>
      </c>
      <c r="O109" s="36"/>
      <c r="P109" s="41"/>
      <c r="Q109" s="1" t="s">
        <v>122</v>
      </c>
      <c r="R109" s="41"/>
      <c r="S109" s="30">
        <v>3.0</v>
      </c>
      <c r="T109" s="33">
        <f t="shared" si="1"/>
        <v>0.3</v>
      </c>
      <c r="U109" s="34">
        <f t="shared" si="2"/>
        <v>0.31</v>
      </c>
      <c r="V109" s="41">
        <f t="shared" si="3"/>
        <v>0</v>
      </c>
      <c r="W109" s="41">
        <f t="shared" si="4"/>
        <v>0</v>
      </c>
    </row>
    <row r="110">
      <c r="A110" s="23" t="s">
        <v>55</v>
      </c>
      <c r="B110" s="23" t="s">
        <v>63</v>
      </c>
      <c r="C110" s="24" t="s">
        <v>198</v>
      </c>
      <c r="D110" s="26">
        <v>629.0</v>
      </c>
      <c r="E110" s="26">
        <v>10.0</v>
      </c>
      <c r="F110" s="27">
        <v>30.0</v>
      </c>
      <c r="G110" s="28" t="s">
        <v>155</v>
      </c>
      <c r="O110" s="36"/>
      <c r="P110" s="41"/>
      <c r="Q110" s="1" t="s">
        <v>122</v>
      </c>
      <c r="R110" s="41"/>
      <c r="S110" s="30">
        <v>3.0</v>
      </c>
      <c r="T110" s="33">
        <f t="shared" si="1"/>
        <v>0.3</v>
      </c>
      <c r="U110" s="34">
        <f t="shared" si="2"/>
        <v>0.31</v>
      </c>
      <c r="V110" s="41">
        <f t="shared" si="3"/>
        <v>0</v>
      </c>
      <c r="W110" s="41">
        <f t="shared" si="4"/>
        <v>0</v>
      </c>
    </row>
    <row r="111">
      <c r="A111" s="23" t="s">
        <v>55</v>
      </c>
      <c r="B111" s="23" t="s">
        <v>63</v>
      </c>
      <c r="C111" s="24" t="s">
        <v>199</v>
      </c>
      <c r="D111" s="26">
        <v>629.0</v>
      </c>
      <c r="E111" s="26">
        <v>32.0</v>
      </c>
      <c r="F111" s="27">
        <v>30.0</v>
      </c>
      <c r="G111" s="28" t="s">
        <v>155</v>
      </c>
      <c r="O111" s="36"/>
      <c r="P111" s="41"/>
      <c r="Q111" s="1" t="s">
        <v>122</v>
      </c>
      <c r="R111" s="41"/>
      <c r="S111" s="30">
        <v>3.0</v>
      </c>
      <c r="T111" s="33">
        <f t="shared" si="1"/>
        <v>0.3</v>
      </c>
      <c r="U111" s="34">
        <f t="shared" si="2"/>
        <v>0.31</v>
      </c>
      <c r="V111" s="41">
        <f t="shared" si="3"/>
        <v>0</v>
      </c>
      <c r="W111" s="41">
        <f t="shared" si="4"/>
        <v>0</v>
      </c>
    </row>
    <row r="112">
      <c r="A112" s="23" t="s">
        <v>55</v>
      </c>
      <c r="B112" s="23" t="s">
        <v>63</v>
      </c>
      <c r="C112" s="24" t="s">
        <v>200</v>
      </c>
      <c r="D112" s="26">
        <v>629.0</v>
      </c>
      <c r="E112" s="26">
        <v>11.0</v>
      </c>
      <c r="F112" s="27">
        <v>30.0</v>
      </c>
      <c r="G112" s="28" t="s">
        <v>155</v>
      </c>
      <c r="O112" s="38"/>
      <c r="P112" s="41"/>
      <c r="Q112" s="1" t="s">
        <v>122</v>
      </c>
      <c r="R112" s="41"/>
      <c r="S112" s="30">
        <v>3.0</v>
      </c>
      <c r="T112" s="33">
        <f t="shared" si="1"/>
        <v>0.3</v>
      </c>
      <c r="U112" s="34">
        <f t="shared" si="2"/>
        <v>0.31</v>
      </c>
      <c r="V112" s="41">
        <f t="shared" si="3"/>
        <v>0</v>
      </c>
      <c r="W112" s="41">
        <f t="shared" si="4"/>
        <v>0</v>
      </c>
    </row>
    <row r="113">
      <c r="A113" s="23" t="s">
        <v>55</v>
      </c>
      <c r="B113" s="23" t="s">
        <v>63</v>
      </c>
      <c r="C113" s="24" t="s">
        <v>201</v>
      </c>
      <c r="D113" s="26">
        <v>629.0</v>
      </c>
      <c r="E113" s="26">
        <v>9.0</v>
      </c>
      <c r="F113" s="27">
        <v>30.0</v>
      </c>
      <c r="G113" s="28" t="s">
        <v>155</v>
      </c>
      <c r="O113" s="29">
        <v>46325.0</v>
      </c>
      <c r="P113" s="41"/>
      <c r="Q113" s="1" t="s">
        <v>122</v>
      </c>
      <c r="R113" s="41"/>
      <c r="S113" s="30">
        <v>3.0</v>
      </c>
      <c r="T113" s="33">
        <f t="shared" si="1"/>
        <v>0.3</v>
      </c>
      <c r="U113" s="34">
        <f t="shared" si="2"/>
        <v>0.31</v>
      </c>
      <c r="V113" s="41">
        <f t="shared" si="3"/>
        <v>0</v>
      </c>
      <c r="W113" s="41">
        <f t="shared" si="4"/>
        <v>0</v>
      </c>
    </row>
    <row r="114">
      <c r="A114" s="23" t="s">
        <v>55</v>
      </c>
      <c r="B114" s="23" t="s">
        <v>63</v>
      </c>
      <c r="C114" s="24" t="s">
        <v>202</v>
      </c>
      <c r="D114" s="26">
        <v>629.0</v>
      </c>
      <c r="E114" s="26">
        <v>8.0</v>
      </c>
      <c r="F114" s="27">
        <v>30.0</v>
      </c>
      <c r="G114" s="28" t="s">
        <v>155</v>
      </c>
      <c r="O114" s="36"/>
      <c r="P114" s="41"/>
      <c r="Q114" s="1" t="s">
        <v>122</v>
      </c>
      <c r="R114" s="41"/>
      <c r="S114" s="30">
        <v>3.0</v>
      </c>
      <c r="T114" s="33">
        <f t="shared" si="1"/>
        <v>0.3</v>
      </c>
      <c r="U114" s="34">
        <f t="shared" si="2"/>
        <v>0.31</v>
      </c>
      <c r="V114" s="41">
        <f t="shared" si="3"/>
        <v>0</v>
      </c>
      <c r="W114" s="41">
        <f t="shared" si="4"/>
        <v>0</v>
      </c>
    </row>
    <row r="115">
      <c r="A115" s="23" t="s">
        <v>55</v>
      </c>
      <c r="B115" s="23" t="s">
        <v>63</v>
      </c>
      <c r="C115" s="24" t="s">
        <v>203</v>
      </c>
      <c r="D115" s="26">
        <v>539.0</v>
      </c>
      <c r="E115" s="26">
        <v>2.0</v>
      </c>
      <c r="F115" s="27">
        <v>30.0</v>
      </c>
      <c r="G115" s="28" t="s">
        <v>155</v>
      </c>
      <c r="O115" s="36"/>
      <c r="P115" s="41"/>
      <c r="Q115" s="1" t="s">
        <v>122</v>
      </c>
      <c r="R115" s="41"/>
      <c r="S115" s="30">
        <v>3.0</v>
      </c>
      <c r="T115" s="33">
        <f t="shared" si="1"/>
        <v>0.3</v>
      </c>
      <c r="U115" s="34">
        <f t="shared" si="2"/>
        <v>0.31</v>
      </c>
      <c r="V115" s="41">
        <f t="shared" si="3"/>
        <v>0</v>
      </c>
      <c r="W115" s="41">
        <f t="shared" si="4"/>
        <v>0</v>
      </c>
    </row>
    <row r="116">
      <c r="A116" s="23" t="s">
        <v>55</v>
      </c>
      <c r="B116" s="23" t="s">
        <v>63</v>
      </c>
      <c r="C116" s="24" t="s">
        <v>204</v>
      </c>
      <c r="D116" s="25">
        <v>1419000.0</v>
      </c>
      <c r="E116" s="26">
        <v>1.0</v>
      </c>
      <c r="F116" s="27">
        <v>50.0</v>
      </c>
      <c r="G116" s="28" t="s">
        <v>155</v>
      </c>
      <c r="O116" s="36"/>
      <c r="P116" s="41"/>
      <c r="Q116" s="1" t="s">
        <v>122</v>
      </c>
      <c r="R116" s="41"/>
      <c r="S116" s="30">
        <v>3.0</v>
      </c>
      <c r="T116" s="33">
        <f t="shared" si="1"/>
        <v>0.3</v>
      </c>
      <c r="U116" s="34">
        <f t="shared" si="2"/>
        <v>0.31</v>
      </c>
      <c r="V116" s="41">
        <f t="shared" si="3"/>
        <v>0</v>
      </c>
      <c r="W116" s="41">
        <f t="shared" si="4"/>
        <v>0</v>
      </c>
    </row>
    <row r="117">
      <c r="A117" s="23" t="s">
        <v>55</v>
      </c>
      <c r="B117" s="23" t="s">
        <v>63</v>
      </c>
      <c r="C117" s="24" t="s">
        <v>205</v>
      </c>
      <c r="D117" s="26">
        <v>729.0</v>
      </c>
      <c r="E117" s="26">
        <v>6.0</v>
      </c>
      <c r="F117" s="27">
        <v>30.0</v>
      </c>
      <c r="G117" s="28" t="s">
        <v>155</v>
      </c>
      <c r="O117" s="38"/>
      <c r="P117" s="41"/>
      <c r="Q117" s="1" t="s">
        <v>122</v>
      </c>
      <c r="R117" s="41"/>
      <c r="S117" s="30">
        <v>3.0</v>
      </c>
      <c r="T117" s="33">
        <f t="shared" si="1"/>
        <v>0.3</v>
      </c>
      <c r="U117" s="34">
        <f t="shared" si="2"/>
        <v>0.31</v>
      </c>
      <c r="V117" s="41">
        <f t="shared" si="3"/>
        <v>0</v>
      </c>
      <c r="W117" s="41">
        <f t="shared" si="4"/>
        <v>0</v>
      </c>
    </row>
    <row r="118">
      <c r="A118" s="23" t="s">
        <v>55</v>
      </c>
      <c r="B118" s="23" t="s">
        <v>63</v>
      </c>
      <c r="C118" s="24" t="s">
        <v>206</v>
      </c>
      <c r="D118" s="26">
        <v>569.0</v>
      </c>
      <c r="E118" s="26">
        <v>3.0</v>
      </c>
      <c r="F118" s="27">
        <v>30.0</v>
      </c>
      <c r="G118" s="28" t="s">
        <v>155</v>
      </c>
      <c r="O118" s="42"/>
    </row>
    <row r="119">
      <c r="A119" s="23" t="s">
        <v>55</v>
      </c>
      <c r="B119" s="23" t="s">
        <v>63</v>
      </c>
      <c r="C119" s="24" t="s">
        <v>207</v>
      </c>
      <c r="D119" s="26">
        <v>539.0</v>
      </c>
      <c r="E119" s="26">
        <v>7.0</v>
      </c>
      <c r="F119" s="27">
        <v>30.0</v>
      </c>
      <c r="G119" s="28" t="s">
        <v>155</v>
      </c>
      <c r="O119" s="42"/>
    </row>
    <row r="120">
      <c r="A120" s="23" t="s">
        <v>55</v>
      </c>
      <c r="B120" s="23" t="s">
        <v>63</v>
      </c>
      <c r="C120" s="24" t="s">
        <v>208</v>
      </c>
      <c r="D120" s="26">
        <v>539.0</v>
      </c>
      <c r="E120" s="26">
        <v>5.0</v>
      </c>
      <c r="F120" s="27">
        <v>30.0</v>
      </c>
      <c r="G120" s="28" t="s">
        <v>155</v>
      </c>
      <c r="O120" s="42"/>
    </row>
    <row r="121">
      <c r="A121" s="23" t="s">
        <v>55</v>
      </c>
      <c r="B121" s="23" t="s">
        <v>63</v>
      </c>
      <c r="C121" s="24" t="s">
        <v>209</v>
      </c>
      <c r="D121" s="26">
        <v>539.0</v>
      </c>
      <c r="E121" s="26">
        <v>2.0</v>
      </c>
      <c r="F121" s="27">
        <v>30.0</v>
      </c>
      <c r="G121" s="28" t="s">
        <v>155</v>
      </c>
      <c r="O121" s="42"/>
    </row>
    <row r="122">
      <c r="A122" s="23" t="s">
        <v>55</v>
      </c>
      <c r="B122" s="23" t="s">
        <v>63</v>
      </c>
      <c r="C122" s="24" t="s">
        <v>210</v>
      </c>
      <c r="D122" s="26">
        <v>539.0</v>
      </c>
      <c r="E122" s="26">
        <v>5.0</v>
      </c>
      <c r="F122" s="27">
        <v>30.0</v>
      </c>
      <c r="G122" s="28" t="s">
        <v>155</v>
      </c>
      <c r="O122" s="42"/>
    </row>
    <row r="123">
      <c r="A123" s="23" t="s">
        <v>55</v>
      </c>
      <c r="B123" s="23" t="s">
        <v>63</v>
      </c>
      <c r="C123" s="24" t="s">
        <v>211</v>
      </c>
      <c r="D123" s="26">
        <v>569.0</v>
      </c>
      <c r="E123" s="26">
        <v>1.0</v>
      </c>
      <c r="F123" s="27">
        <v>30.0</v>
      </c>
      <c r="G123" s="28" t="s">
        <v>155</v>
      </c>
      <c r="O123" s="8"/>
    </row>
    <row r="124">
      <c r="A124" s="23" t="s">
        <v>55</v>
      </c>
      <c r="B124" s="23" t="s">
        <v>63</v>
      </c>
      <c r="C124" s="24" t="s">
        <v>212</v>
      </c>
      <c r="D124" s="26">
        <v>569.0</v>
      </c>
      <c r="E124" s="26">
        <v>42.0</v>
      </c>
      <c r="F124" s="27">
        <v>30.0</v>
      </c>
      <c r="G124" s="28" t="s">
        <v>155</v>
      </c>
      <c r="O124" s="8"/>
    </row>
    <row r="125">
      <c r="A125" s="23" t="s">
        <v>55</v>
      </c>
      <c r="B125" s="23" t="s">
        <v>63</v>
      </c>
      <c r="C125" s="24" t="s">
        <v>213</v>
      </c>
      <c r="D125" s="26">
        <v>769.0</v>
      </c>
      <c r="E125" s="26">
        <v>1.0</v>
      </c>
      <c r="F125" s="27">
        <v>30.0</v>
      </c>
      <c r="G125" s="28" t="s">
        <v>155</v>
      </c>
      <c r="O125" s="8"/>
    </row>
    <row r="126">
      <c r="A126" s="23" t="s">
        <v>55</v>
      </c>
      <c r="B126" s="23" t="s">
        <v>63</v>
      </c>
      <c r="C126" s="24" t="s">
        <v>214</v>
      </c>
      <c r="D126" s="26">
        <v>919.0</v>
      </c>
      <c r="E126" s="26">
        <v>5.0</v>
      </c>
      <c r="F126" s="27">
        <v>30.0</v>
      </c>
      <c r="G126" s="28" t="s">
        <v>155</v>
      </c>
      <c r="O126" s="8"/>
    </row>
    <row r="127">
      <c r="A127" s="23" t="s">
        <v>55</v>
      </c>
      <c r="B127" s="23" t="s">
        <v>63</v>
      </c>
      <c r="C127" s="24" t="s">
        <v>215</v>
      </c>
      <c r="D127" s="26">
        <v>919.0</v>
      </c>
      <c r="E127" s="26">
        <v>9.0</v>
      </c>
      <c r="F127" s="27">
        <v>30.0</v>
      </c>
      <c r="G127" s="28" t="s">
        <v>155</v>
      </c>
      <c r="O127" s="8"/>
    </row>
    <row r="128">
      <c r="A128" s="23" t="s">
        <v>55</v>
      </c>
      <c r="B128" s="23" t="s">
        <v>63</v>
      </c>
      <c r="C128" s="24" t="s">
        <v>216</v>
      </c>
      <c r="D128" s="26">
        <v>959.0</v>
      </c>
      <c r="E128" s="26">
        <v>1.0</v>
      </c>
      <c r="F128" s="27">
        <v>30.0</v>
      </c>
      <c r="G128" s="28" t="s">
        <v>155</v>
      </c>
      <c r="O128" s="8"/>
    </row>
    <row r="129">
      <c r="A129" s="23" t="s">
        <v>55</v>
      </c>
      <c r="B129" s="23" t="s">
        <v>63</v>
      </c>
      <c r="C129" s="24" t="s">
        <v>217</v>
      </c>
      <c r="D129" s="25">
        <v>1509000.0</v>
      </c>
      <c r="E129" s="26">
        <v>4.0</v>
      </c>
      <c r="F129" s="27">
        <v>30.0</v>
      </c>
      <c r="G129" s="28" t="s">
        <v>155</v>
      </c>
      <c r="O129" s="8"/>
    </row>
    <row r="130">
      <c r="A130" s="23" t="s">
        <v>55</v>
      </c>
      <c r="B130" s="23" t="s">
        <v>63</v>
      </c>
      <c r="C130" s="24" t="s">
        <v>218</v>
      </c>
      <c r="D130" s="25">
        <v>1989000.0</v>
      </c>
      <c r="E130" s="26">
        <v>3.0</v>
      </c>
      <c r="F130" s="27">
        <v>30.0</v>
      </c>
      <c r="G130" s="28" t="s">
        <v>155</v>
      </c>
      <c r="O130" s="8"/>
    </row>
    <row r="131">
      <c r="A131" s="23" t="s">
        <v>55</v>
      </c>
      <c r="B131" s="23" t="s">
        <v>63</v>
      </c>
      <c r="C131" s="24" t="s">
        <v>219</v>
      </c>
      <c r="D131" s="25">
        <v>1889000.0</v>
      </c>
      <c r="E131" s="26">
        <v>3.0</v>
      </c>
      <c r="F131" s="27">
        <v>30.0</v>
      </c>
      <c r="G131" s="28" t="s">
        <v>155</v>
      </c>
      <c r="O131" s="8"/>
    </row>
    <row r="132">
      <c r="A132" s="23" t="s">
        <v>55</v>
      </c>
      <c r="B132" s="23" t="s">
        <v>63</v>
      </c>
      <c r="C132" s="24" t="s">
        <v>220</v>
      </c>
      <c r="D132" s="25">
        <v>1779000.0</v>
      </c>
      <c r="E132" s="26">
        <v>4.0</v>
      </c>
      <c r="F132" s="27">
        <v>30.0</v>
      </c>
      <c r="G132" s="28" t="s">
        <v>155</v>
      </c>
      <c r="O132" s="8"/>
    </row>
    <row r="133">
      <c r="A133" s="23" t="s">
        <v>55</v>
      </c>
      <c r="B133" s="23" t="s">
        <v>63</v>
      </c>
      <c r="C133" s="24" t="s">
        <v>221</v>
      </c>
      <c r="D133" s="25">
        <v>1129000.0</v>
      </c>
      <c r="E133" s="26">
        <v>6.0</v>
      </c>
      <c r="F133" s="27">
        <v>30.0</v>
      </c>
      <c r="G133" s="28" t="s">
        <v>155</v>
      </c>
      <c r="O133" s="8"/>
    </row>
    <row r="134">
      <c r="A134" s="23" t="s">
        <v>55</v>
      </c>
      <c r="B134" s="23" t="s">
        <v>63</v>
      </c>
      <c r="C134" s="24" t="s">
        <v>222</v>
      </c>
      <c r="D134" s="25">
        <v>1669000.0</v>
      </c>
      <c r="E134" s="26">
        <v>4.0</v>
      </c>
      <c r="F134" s="27">
        <v>30.0</v>
      </c>
      <c r="G134" s="28" t="s">
        <v>155</v>
      </c>
      <c r="O134" s="8"/>
    </row>
    <row r="135">
      <c r="A135" s="23" t="s">
        <v>55</v>
      </c>
      <c r="B135" s="23" t="s">
        <v>63</v>
      </c>
      <c r="C135" s="24" t="s">
        <v>223</v>
      </c>
      <c r="D135" s="25">
        <v>1669000.0</v>
      </c>
      <c r="E135" s="26">
        <v>2.0</v>
      </c>
      <c r="F135" s="27">
        <v>30.0</v>
      </c>
      <c r="G135" s="28" t="s">
        <v>155</v>
      </c>
      <c r="O135" s="8"/>
    </row>
    <row r="136">
      <c r="A136" s="23" t="s">
        <v>55</v>
      </c>
      <c r="B136" s="23" t="s">
        <v>63</v>
      </c>
      <c r="C136" s="24" t="s">
        <v>224</v>
      </c>
      <c r="D136" s="25">
        <v>1569000.0</v>
      </c>
      <c r="E136" s="26">
        <v>1.0</v>
      </c>
      <c r="F136" s="27">
        <v>30.0</v>
      </c>
      <c r="G136" s="28" t="s">
        <v>155</v>
      </c>
      <c r="O136" s="8"/>
    </row>
    <row r="137">
      <c r="A137" s="23" t="s">
        <v>55</v>
      </c>
      <c r="B137" s="23" t="s">
        <v>63</v>
      </c>
      <c r="C137" s="24" t="s">
        <v>225</v>
      </c>
      <c r="D137" s="25">
        <v>1569000.0</v>
      </c>
      <c r="E137" s="26">
        <v>3.0</v>
      </c>
      <c r="F137" s="27">
        <v>30.0</v>
      </c>
      <c r="G137" s="28" t="s">
        <v>155</v>
      </c>
      <c r="O137" s="8"/>
    </row>
    <row r="138">
      <c r="A138" s="23" t="s">
        <v>55</v>
      </c>
      <c r="B138" s="23" t="s">
        <v>63</v>
      </c>
      <c r="C138" s="24" t="s">
        <v>226</v>
      </c>
      <c r="D138" s="25">
        <v>1619000.0</v>
      </c>
      <c r="E138" s="26">
        <v>1.0</v>
      </c>
      <c r="F138" s="27">
        <v>30.0</v>
      </c>
      <c r="G138" s="28" t="s">
        <v>155</v>
      </c>
      <c r="O138" s="8"/>
    </row>
    <row r="139">
      <c r="A139" s="23" t="s">
        <v>55</v>
      </c>
      <c r="B139" s="23" t="s">
        <v>63</v>
      </c>
      <c r="C139" s="24" t="s">
        <v>227</v>
      </c>
      <c r="D139" s="25">
        <v>1619000.0</v>
      </c>
      <c r="E139" s="26">
        <v>6.0</v>
      </c>
      <c r="F139" s="27">
        <v>30.0</v>
      </c>
      <c r="G139" s="28" t="s">
        <v>155</v>
      </c>
      <c r="O139" s="8"/>
    </row>
    <row r="140">
      <c r="A140" s="23" t="s">
        <v>55</v>
      </c>
      <c r="B140" s="23" t="s">
        <v>63</v>
      </c>
      <c r="C140" s="24" t="s">
        <v>228</v>
      </c>
      <c r="D140" s="25">
        <v>1619000.0</v>
      </c>
      <c r="E140" s="26">
        <v>3.0</v>
      </c>
      <c r="F140" s="27">
        <v>30.0</v>
      </c>
      <c r="G140" s="28" t="s">
        <v>155</v>
      </c>
      <c r="O140" s="8"/>
    </row>
    <row r="141">
      <c r="A141" s="23" t="s">
        <v>55</v>
      </c>
      <c r="B141" s="23" t="s">
        <v>63</v>
      </c>
      <c r="C141" s="24" t="s">
        <v>229</v>
      </c>
      <c r="D141" s="26">
        <v>809.0</v>
      </c>
      <c r="E141" s="26">
        <v>1.0</v>
      </c>
      <c r="F141" s="27">
        <v>30.0</v>
      </c>
      <c r="G141" s="28" t="s">
        <v>155</v>
      </c>
      <c r="O141" s="8"/>
    </row>
    <row r="142">
      <c r="A142" s="23" t="s">
        <v>55</v>
      </c>
      <c r="B142" s="23" t="s">
        <v>63</v>
      </c>
      <c r="C142" s="24" t="s">
        <v>230</v>
      </c>
      <c r="D142" s="26">
        <v>809.0</v>
      </c>
      <c r="E142" s="26">
        <v>1.0</v>
      </c>
      <c r="F142" s="27">
        <v>30.0</v>
      </c>
      <c r="G142" s="28" t="s">
        <v>155</v>
      </c>
      <c r="O142" s="8"/>
    </row>
    <row r="143">
      <c r="A143" s="23" t="s">
        <v>55</v>
      </c>
      <c r="B143" s="23" t="s">
        <v>63</v>
      </c>
      <c r="C143" s="24" t="s">
        <v>231</v>
      </c>
      <c r="D143" s="26">
        <v>829.0</v>
      </c>
      <c r="E143" s="26">
        <v>3.0</v>
      </c>
      <c r="F143" s="27">
        <v>30.0</v>
      </c>
      <c r="G143" s="28" t="s">
        <v>155</v>
      </c>
      <c r="O143" s="8"/>
    </row>
    <row r="144">
      <c r="A144" s="23" t="s">
        <v>55</v>
      </c>
      <c r="B144" s="23" t="s">
        <v>63</v>
      </c>
      <c r="C144" s="24" t="s">
        <v>232</v>
      </c>
      <c r="D144" s="26">
        <v>789.0</v>
      </c>
      <c r="E144" s="26">
        <v>2.0</v>
      </c>
      <c r="F144" s="27">
        <v>30.0</v>
      </c>
      <c r="G144" s="28" t="s">
        <v>155</v>
      </c>
      <c r="O144" s="8"/>
    </row>
    <row r="145">
      <c r="A145" s="23" t="s">
        <v>55</v>
      </c>
      <c r="B145" s="23" t="s">
        <v>63</v>
      </c>
      <c r="C145" s="24" t="s">
        <v>233</v>
      </c>
      <c r="D145" s="26">
        <v>679.0</v>
      </c>
      <c r="E145" s="26">
        <v>2.0</v>
      </c>
      <c r="F145" s="27">
        <v>30.0</v>
      </c>
      <c r="G145" s="28" t="s">
        <v>155</v>
      </c>
      <c r="O145" s="8"/>
    </row>
    <row r="146">
      <c r="A146" s="23" t="s">
        <v>55</v>
      </c>
      <c r="B146" s="23" t="s">
        <v>63</v>
      </c>
      <c r="C146" s="24" t="s">
        <v>234</v>
      </c>
      <c r="D146" s="26">
        <v>829.0</v>
      </c>
      <c r="E146" s="26">
        <v>7.0</v>
      </c>
      <c r="F146" s="27">
        <v>30.0</v>
      </c>
      <c r="G146" s="28" t="s">
        <v>155</v>
      </c>
      <c r="O146" s="8"/>
    </row>
    <row r="147">
      <c r="A147" s="23" t="s">
        <v>55</v>
      </c>
      <c r="B147" s="23" t="s">
        <v>63</v>
      </c>
      <c r="C147" s="24" t="s">
        <v>235</v>
      </c>
      <c r="D147" s="26">
        <v>789.0</v>
      </c>
      <c r="E147" s="26">
        <v>2.0</v>
      </c>
      <c r="F147" s="27">
        <v>30.0</v>
      </c>
      <c r="G147" s="28" t="s">
        <v>155</v>
      </c>
      <c r="O147" s="8"/>
    </row>
    <row r="148">
      <c r="A148" s="23" t="s">
        <v>55</v>
      </c>
      <c r="B148" s="23" t="s">
        <v>63</v>
      </c>
      <c r="C148" s="24" t="s">
        <v>236</v>
      </c>
      <c r="D148" s="25">
        <v>1129000.0</v>
      </c>
      <c r="E148" s="26">
        <v>6.0</v>
      </c>
      <c r="F148" s="27">
        <v>30.0</v>
      </c>
      <c r="G148" s="28" t="s">
        <v>155</v>
      </c>
      <c r="O148" s="8"/>
    </row>
    <row r="149">
      <c r="A149" s="23" t="s">
        <v>55</v>
      </c>
      <c r="B149" s="23" t="s">
        <v>63</v>
      </c>
      <c r="C149" s="24" t="s">
        <v>237</v>
      </c>
      <c r="D149" s="25">
        <v>1019000.0</v>
      </c>
      <c r="E149" s="26">
        <v>1.0</v>
      </c>
      <c r="F149" s="27">
        <v>30.0</v>
      </c>
      <c r="G149" s="28" t="s">
        <v>155</v>
      </c>
      <c r="O149" s="8"/>
    </row>
    <row r="150">
      <c r="A150" s="23" t="s">
        <v>55</v>
      </c>
      <c r="B150" s="23" t="s">
        <v>63</v>
      </c>
      <c r="C150" s="24" t="s">
        <v>238</v>
      </c>
      <c r="D150" s="25">
        <v>1019000.0</v>
      </c>
      <c r="E150" s="26">
        <v>6.0</v>
      </c>
      <c r="F150" s="27">
        <v>30.0</v>
      </c>
      <c r="G150" s="28" t="s">
        <v>155</v>
      </c>
      <c r="O150" s="8"/>
    </row>
    <row r="151">
      <c r="A151" s="23" t="s">
        <v>55</v>
      </c>
      <c r="B151" s="23" t="s">
        <v>63</v>
      </c>
      <c r="C151" s="24" t="s">
        <v>239</v>
      </c>
      <c r="D151" s="26">
        <v>959.0</v>
      </c>
      <c r="E151" s="26">
        <v>6.0</v>
      </c>
      <c r="F151" s="27">
        <v>30.0</v>
      </c>
      <c r="G151" s="28" t="s">
        <v>155</v>
      </c>
      <c r="O151" s="8"/>
    </row>
    <row r="152">
      <c r="A152" s="23" t="s">
        <v>55</v>
      </c>
      <c r="B152" s="23" t="s">
        <v>63</v>
      </c>
      <c r="C152" s="24" t="s">
        <v>240</v>
      </c>
      <c r="D152" s="26">
        <v>959.0</v>
      </c>
      <c r="E152" s="26">
        <v>13.0</v>
      </c>
      <c r="F152" s="27">
        <v>30.0</v>
      </c>
      <c r="G152" s="28" t="s">
        <v>155</v>
      </c>
      <c r="O152" s="8"/>
    </row>
    <row r="153">
      <c r="A153" s="23" t="s">
        <v>55</v>
      </c>
      <c r="B153" s="23" t="s">
        <v>63</v>
      </c>
      <c r="C153" s="24" t="s">
        <v>241</v>
      </c>
      <c r="D153" s="26">
        <v>789.0</v>
      </c>
      <c r="E153" s="26">
        <v>1.0</v>
      </c>
      <c r="F153" s="27">
        <v>30.0</v>
      </c>
      <c r="G153" s="28" t="s">
        <v>155</v>
      </c>
      <c r="O153" s="8"/>
    </row>
    <row r="154">
      <c r="A154" s="23" t="s">
        <v>55</v>
      </c>
      <c r="B154" s="23" t="s">
        <v>63</v>
      </c>
      <c r="C154" s="24" t="s">
        <v>242</v>
      </c>
      <c r="D154" s="26">
        <v>789.0</v>
      </c>
      <c r="E154" s="26">
        <v>3.0</v>
      </c>
      <c r="F154" s="27">
        <v>30.0</v>
      </c>
      <c r="G154" s="28" t="s">
        <v>155</v>
      </c>
      <c r="O154" s="8"/>
    </row>
    <row r="155">
      <c r="A155" s="23" t="s">
        <v>55</v>
      </c>
      <c r="B155" s="23" t="s">
        <v>63</v>
      </c>
      <c r="C155" s="24" t="s">
        <v>243</v>
      </c>
      <c r="D155" s="26">
        <v>789.0</v>
      </c>
      <c r="E155" s="26">
        <v>5.0</v>
      </c>
      <c r="F155" s="27">
        <v>30.0</v>
      </c>
      <c r="G155" s="28" t="s">
        <v>155</v>
      </c>
      <c r="O155" s="8"/>
    </row>
    <row r="156">
      <c r="A156" s="23" t="s">
        <v>55</v>
      </c>
      <c r="B156" s="23" t="s">
        <v>63</v>
      </c>
      <c r="C156" s="24" t="s">
        <v>244</v>
      </c>
      <c r="D156" s="26">
        <v>979.0</v>
      </c>
      <c r="E156" s="26">
        <v>6.0</v>
      </c>
      <c r="F156" s="27">
        <v>30.0</v>
      </c>
      <c r="G156" s="28" t="s">
        <v>155</v>
      </c>
      <c r="O156" s="8"/>
    </row>
    <row r="157">
      <c r="A157" s="23" t="s">
        <v>55</v>
      </c>
      <c r="B157" s="23" t="s">
        <v>63</v>
      </c>
      <c r="C157" s="24" t="s">
        <v>245</v>
      </c>
      <c r="D157" s="26">
        <v>979.0</v>
      </c>
      <c r="E157" s="26">
        <v>5.0</v>
      </c>
      <c r="F157" s="27">
        <v>30.0</v>
      </c>
      <c r="G157" s="28" t="s">
        <v>155</v>
      </c>
      <c r="O157" s="8"/>
    </row>
    <row r="158">
      <c r="A158" s="23" t="s">
        <v>55</v>
      </c>
      <c r="B158" s="23" t="s">
        <v>63</v>
      </c>
      <c r="C158" s="24" t="s">
        <v>246</v>
      </c>
      <c r="D158" s="25">
        <v>1019000.0</v>
      </c>
      <c r="E158" s="26">
        <v>1.0</v>
      </c>
      <c r="F158" s="27">
        <v>30.0</v>
      </c>
      <c r="G158" s="28" t="s">
        <v>155</v>
      </c>
      <c r="O158" s="8"/>
    </row>
    <row r="159">
      <c r="A159" s="23" t="s">
        <v>55</v>
      </c>
      <c r="B159" s="23" t="s">
        <v>63</v>
      </c>
      <c r="C159" s="24" t="s">
        <v>247</v>
      </c>
      <c r="D159" s="26">
        <v>469.0</v>
      </c>
      <c r="E159" s="26">
        <v>34.0</v>
      </c>
      <c r="F159" s="27">
        <v>30.0</v>
      </c>
      <c r="G159" s="28" t="s">
        <v>155</v>
      </c>
      <c r="O159" s="8"/>
    </row>
    <row r="160">
      <c r="A160" s="23" t="s">
        <v>55</v>
      </c>
      <c r="B160" s="23" t="s">
        <v>63</v>
      </c>
      <c r="C160" s="24" t="s">
        <v>248</v>
      </c>
      <c r="D160" s="26">
        <v>509.0</v>
      </c>
      <c r="E160" s="26">
        <v>1.0</v>
      </c>
      <c r="F160" s="27">
        <v>30.0</v>
      </c>
      <c r="G160" s="28" t="s">
        <v>155</v>
      </c>
      <c r="O160" s="8"/>
    </row>
    <row r="161">
      <c r="A161" s="23" t="s">
        <v>55</v>
      </c>
      <c r="B161" s="23" t="s">
        <v>63</v>
      </c>
      <c r="C161" s="24" t="s">
        <v>249</v>
      </c>
      <c r="D161" s="26">
        <v>509.0</v>
      </c>
      <c r="E161" s="26">
        <v>5.0</v>
      </c>
      <c r="F161" s="27">
        <v>30.0</v>
      </c>
      <c r="G161" s="28" t="s">
        <v>155</v>
      </c>
      <c r="O161" s="8"/>
    </row>
    <row r="162">
      <c r="A162" s="23" t="s">
        <v>55</v>
      </c>
      <c r="B162" s="23" t="s">
        <v>63</v>
      </c>
      <c r="C162" s="24" t="s">
        <v>250</v>
      </c>
      <c r="D162" s="26">
        <v>769.0</v>
      </c>
      <c r="E162" s="26">
        <v>1.0</v>
      </c>
      <c r="F162" s="27">
        <v>30.0</v>
      </c>
      <c r="G162" s="28" t="s">
        <v>155</v>
      </c>
      <c r="O162" s="8"/>
    </row>
    <row r="163">
      <c r="A163" s="23" t="s">
        <v>55</v>
      </c>
      <c r="B163" s="23" t="s">
        <v>63</v>
      </c>
      <c r="C163" s="24" t="s">
        <v>251</v>
      </c>
      <c r="D163" s="26">
        <v>899.0</v>
      </c>
      <c r="E163" s="26">
        <v>1.0</v>
      </c>
      <c r="F163" s="27">
        <v>30.0</v>
      </c>
      <c r="G163" s="28" t="s">
        <v>155</v>
      </c>
      <c r="O163" s="8"/>
    </row>
    <row r="164">
      <c r="A164" s="23" t="s">
        <v>55</v>
      </c>
      <c r="B164" s="23" t="s">
        <v>63</v>
      </c>
      <c r="C164" s="24" t="s">
        <v>252</v>
      </c>
      <c r="D164" s="26">
        <v>659.0</v>
      </c>
      <c r="E164" s="26">
        <v>2.0</v>
      </c>
      <c r="F164" s="27">
        <v>30.0</v>
      </c>
      <c r="G164" s="28" t="s">
        <v>155</v>
      </c>
      <c r="O164" s="8"/>
    </row>
    <row r="165">
      <c r="A165" s="23" t="s">
        <v>55</v>
      </c>
      <c r="B165" s="23" t="s">
        <v>63</v>
      </c>
      <c r="C165" s="24" t="s">
        <v>253</v>
      </c>
      <c r="D165" s="26">
        <v>729.0</v>
      </c>
      <c r="E165" s="26">
        <v>2.0</v>
      </c>
      <c r="F165" s="27">
        <v>30.0</v>
      </c>
      <c r="G165" s="28" t="s">
        <v>155</v>
      </c>
      <c r="O165" s="8"/>
    </row>
    <row r="166">
      <c r="A166" s="23" t="s">
        <v>55</v>
      </c>
      <c r="B166" s="23" t="s">
        <v>63</v>
      </c>
      <c r="C166" s="24" t="s">
        <v>254</v>
      </c>
      <c r="D166" s="26">
        <v>959.0</v>
      </c>
      <c r="E166" s="26">
        <v>3.0</v>
      </c>
      <c r="F166" s="27">
        <v>30.0</v>
      </c>
      <c r="G166" s="28" t="s">
        <v>155</v>
      </c>
      <c r="O166" s="8"/>
    </row>
    <row r="167">
      <c r="A167" s="23" t="s">
        <v>55</v>
      </c>
      <c r="B167" s="23" t="s">
        <v>63</v>
      </c>
      <c r="C167" s="24" t="s">
        <v>255</v>
      </c>
      <c r="D167" s="26">
        <v>959.0</v>
      </c>
      <c r="E167" s="26">
        <v>6.0</v>
      </c>
      <c r="F167" s="27">
        <v>30.0</v>
      </c>
      <c r="G167" s="28" t="s">
        <v>155</v>
      </c>
      <c r="O167" s="8"/>
    </row>
    <row r="168">
      <c r="A168" s="23" t="s">
        <v>55</v>
      </c>
      <c r="B168" s="23" t="s">
        <v>256</v>
      </c>
      <c r="C168" s="24" t="s">
        <v>257</v>
      </c>
      <c r="D168" s="25">
        <v>3519000.0</v>
      </c>
      <c r="E168" s="26">
        <v>4.0</v>
      </c>
      <c r="F168" s="27">
        <v>40.0</v>
      </c>
      <c r="G168" s="28" t="s">
        <v>155</v>
      </c>
      <c r="O168" s="8"/>
    </row>
    <row r="169">
      <c r="A169" s="23" t="s">
        <v>55</v>
      </c>
      <c r="B169" s="23" t="s">
        <v>256</v>
      </c>
      <c r="C169" s="24" t="s">
        <v>258</v>
      </c>
      <c r="D169" s="25">
        <v>3519000.0</v>
      </c>
      <c r="E169" s="26">
        <v>3.0</v>
      </c>
      <c r="F169" s="27">
        <v>40.0</v>
      </c>
      <c r="G169" s="28" t="s">
        <v>155</v>
      </c>
      <c r="O169" s="8"/>
    </row>
    <row r="170">
      <c r="A170" s="23" t="s">
        <v>55</v>
      </c>
      <c r="B170" s="23" t="s">
        <v>256</v>
      </c>
      <c r="C170" s="24" t="s">
        <v>259</v>
      </c>
      <c r="D170" s="25">
        <v>4059000.0</v>
      </c>
      <c r="E170" s="26">
        <v>2.0</v>
      </c>
      <c r="F170" s="27">
        <v>40.0</v>
      </c>
      <c r="G170" s="28" t="s">
        <v>155</v>
      </c>
      <c r="O170" s="8"/>
    </row>
    <row r="171">
      <c r="A171" s="23" t="s">
        <v>55</v>
      </c>
      <c r="B171" s="23" t="s">
        <v>256</v>
      </c>
      <c r="C171" s="24" t="s">
        <v>260</v>
      </c>
      <c r="D171" s="25">
        <v>4059000.0</v>
      </c>
      <c r="E171" s="26">
        <v>6.0</v>
      </c>
      <c r="F171" s="27">
        <v>40.0</v>
      </c>
      <c r="G171" s="28" t="s">
        <v>155</v>
      </c>
      <c r="O171" s="8"/>
    </row>
    <row r="172">
      <c r="A172" s="23" t="s">
        <v>55</v>
      </c>
      <c r="B172" s="23" t="s">
        <v>256</v>
      </c>
      <c r="C172" s="24" t="s">
        <v>261</v>
      </c>
      <c r="D172" s="25">
        <v>4339000.0</v>
      </c>
      <c r="E172" s="26">
        <v>1.0</v>
      </c>
      <c r="F172" s="27">
        <v>40.0</v>
      </c>
      <c r="G172" s="28" t="s">
        <v>155</v>
      </c>
      <c r="O172" s="8"/>
    </row>
    <row r="173">
      <c r="A173" s="23" t="s">
        <v>55</v>
      </c>
      <c r="B173" s="23" t="s">
        <v>256</v>
      </c>
      <c r="C173" s="24" t="s">
        <v>262</v>
      </c>
      <c r="D173" s="25">
        <v>4339000.0</v>
      </c>
      <c r="E173" s="26">
        <v>3.0</v>
      </c>
      <c r="F173" s="27">
        <v>40.0</v>
      </c>
      <c r="G173" s="28" t="s">
        <v>155</v>
      </c>
      <c r="O173" s="8"/>
    </row>
    <row r="174">
      <c r="A174" s="23" t="s">
        <v>55</v>
      </c>
      <c r="B174" s="23" t="s">
        <v>256</v>
      </c>
      <c r="C174" s="24" t="s">
        <v>263</v>
      </c>
      <c r="D174" s="25">
        <v>4609000.0</v>
      </c>
      <c r="E174" s="26">
        <v>3.0</v>
      </c>
      <c r="F174" s="27">
        <v>40.0</v>
      </c>
      <c r="G174" s="28" t="s">
        <v>155</v>
      </c>
      <c r="O174" s="8"/>
    </row>
    <row r="175">
      <c r="A175" s="23" t="s">
        <v>55</v>
      </c>
      <c r="B175" s="23" t="s">
        <v>256</v>
      </c>
      <c r="C175" s="24" t="s">
        <v>264</v>
      </c>
      <c r="D175" s="25">
        <v>3789000.0</v>
      </c>
      <c r="E175" s="26">
        <v>1.0</v>
      </c>
      <c r="F175" s="27">
        <v>40.0</v>
      </c>
      <c r="G175" s="28" t="s">
        <v>155</v>
      </c>
      <c r="O175" s="8"/>
    </row>
    <row r="176">
      <c r="A176" s="23" t="s">
        <v>55</v>
      </c>
      <c r="B176" s="23" t="s">
        <v>256</v>
      </c>
      <c r="C176" s="24" t="s">
        <v>265</v>
      </c>
      <c r="D176" s="25">
        <v>3789000.0</v>
      </c>
      <c r="E176" s="26">
        <v>5.0</v>
      </c>
      <c r="F176" s="27">
        <v>40.0</v>
      </c>
      <c r="G176" s="28" t="s">
        <v>155</v>
      </c>
      <c r="O176" s="8"/>
    </row>
    <row r="177">
      <c r="A177" s="23" t="s">
        <v>55</v>
      </c>
      <c r="B177" s="23" t="s">
        <v>266</v>
      </c>
      <c r="C177" s="24" t="s">
        <v>267</v>
      </c>
      <c r="D177" s="25">
        <v>2490000.0</v>
      </c>
      <c r="E177" s="26">
        <v>1.0</v>
      </c>
      <c r="F177" s="27">
        <v>70.0</v>
      </c>
      <c r="G177" s="28" t="s">
        <v>155</v>
      </c>
      <c r="O177" s="8"/>
    </row>
    <row r="178">
      <c r="A178" s="23" t="s">
        <v>55</v>
      </c>
      <c r="B178" s="23" t="s">
        <v>268</v>
      </c>
      <c r="C178" s="24" t="s">
        <v>269</v>
      </c>
      <c r="D178" s="25">
        <v>1680000.0</v>
      </c>
      <c r="E178" s="26">
        <v>2.0</v>
      </c>
      <c r="F178" s="27">
        <v>40.0</v>
      </c>
      <c r="G178" s="28">
        <v>35.0</v>
      </c>
      <c r="O178" s="8"/>
    </row>
    <row r="179">
      <c r="A179" s="23" t="s">
        <v>55</v>
      </c>
      <c r="B179" s="23" t="s">
        <v>268</v>
      </c>
      <c r="C179" s="24" t="s">
        <v>270</v>
      </c>
      <c r="D179" s="25">
        <v>1540000.0</v>
      </c>
      <c r="E179" s="26">
        <v>2.0</v>
      </c>
      <c r="F179" s="27">
        <v>40.0</v>
      </c>
      <c r="G179" s="28">
        <v>35.0</v>
      </c>
      <c r="O179" s="8"/>
    </row>
    <row r="180">
      <c r="A180" s="23" t="s">
        <v>55</v>
      </c>
      <c r="B180" s="23" t="s">
        <v>268</v>
      </c>
      <c r="C180" s="24" t="s">
        <v>271</v>
      </c>
      <c r="D180" s="25">
        <v>1440000.0</v>
      </c>
      <c r="E180" s="26">
        <v>2.0</v>
      </c>
      <c r="F180" s="27">
        <v>40.0</v>
      </c>
      <c r="G180" s="28">
        <v>35.0</v>
      </c>
      <c r="O180" s="8"/>
    </row>
    <row r="181">
      <c r="A181" s="23" t="s">
        <v>55</v>
      </c>
      <c r="B181" s="23" t="s">
        <v>268</v>
      </c>
      <c r="C181" s="24" t="s">
        <v>272</v>
      </c>
      <c r="D181" s="25">
        <v>1440000.0</v>
      </c>
      <c r="E181" s="26">
        <v>1.0</v>
      </c>
      <c r="F181" s="27">
        <v>40.0</v>
      </c>
      <c r="G181" s="28">
        <v>35.0</v>
      </c>
      <c r="O181" s="8"/>
    </row>
    <row r="182">
      <c r="A182" s="23" t="s">
        <v>55</v>
      </c>
      <c r="B182" s="23" t="s">
        <v>268</v>
      </c>
      <c r="C182" s="24" t="s">
        <v>273</v>
      </c>
      <c r="D182" s="25">
        <v>1440000.0</v>
      </c>
      <c r="E182" s="26">
        <v>1.0</v>
      </c>
      <c r="F182" s="27">
        <v>40.0</v>
      </c>
      <c r="G182" s="28">
        <v>35.0</v>
      </c>
      <c r="O182" s="8"/>
    </row>
    <row r="183">
      <c r="A183" s="23" t="s">
        <v>55</v>
      </c>
      <c r="B183" s="23" t="s">
        <v>268</v>
      </c>
      <c r="C183" s="24" t="s">
        <v>274</v>
      </c>
      <c r="D183" s="25">
        <v>1540000.0</v>
      </c>
      <c r="E183" s="26">
        <v>2.0</v>
      </c>
      <c r="F183" s="27">
        <v>40.0</v>
      </c>
      <c r="G183" s="28">
        <v>35.0</v>
      </c>
      <c r="O183" s="8"/>
    </row>
    <row r="184">
      <c r="A184" s="23" t="s">
        <v>55</v>
      </c>
      <c r="B184" s="23" t="s">
        <v>275</v>
      </c>
      <c r="C184" s="24" t="s">
        <v>276</v>
      </c>
      <c r="D184" s="25">
        <v>3150000.0</v>
      </c>
      <c r="E184" s="26">
        <v>1.0</v>
      </c>
      <c r="F184" s="27">
        <v>35.0</v>
      </c>
      <c r="G184" s="28">
        <v>25.0</v>
      </c>
      <c r="O184" s="8"/>
    </row>
    <row r="185">
      <c r="A185" s="23" t="s">
        <v>55</v>
      </c>
      <c r="B185" s="23" t="s">
        <v>275</v>
      </c>
      <c r="C185" s="24" t="s">
        <v>277</v>
      </c>
      <c r="D185" s="25">
        <v>3525000.0</v>
      </c>
      <c r="E185" s="26">
        <v>2.0</v>
      </c>
      <c r="F185" s="27">
        <v>50.0</v>
      </c>
      <c r="G185" s="28">
        <v>35.0</v>
      </c>
      <c r="O185" s="8"/>
    </row>
    <row r="186">
      <c r="A186" s="23" t="s">
        <v>55</v>
      </c>
      <c r="B186" s="23" t="s">
        <v>275</v>
      </c>
      <c r="C186" s="24" t="s">
        <v>278</v>
      </c>
      <c r="D186" s="25">
        <v>3525000.0</v>
      </c>
      <c r="E186" s="26">
        <v>1.0</v>
      </c>
      <c r="F186" s="27">
        <v>35.0</v>
      </c>
      <c r="G186" s="28">
        <v>25.0</v>
      </c>
      <c r="O186" s="8"/>
    </row>
    <row r="187">
      <c r="A187" s="23" t="s">
        <v>55</v>
      </c>
      <c r="B187" s="23" t="s">
        <v>275</v>
      </c>
      <c r="C187" s="24" t="s">
        <v>279</v>
      </c>
      <c r="D187" s="25">
        <v>2500000.0</v>
      </c>
      <c r="E187" s="26">
        <v>4.0</v>
      </c>
      <c r="F187" s="27">
        <v>35.0</v>
      </c>
      <c r="G187" s="28">
        <v>25.0</v>
      </c>
      <c r="O187" s="8"/>
    </row>
    <row r="188">
      <c r="A188" s="23" t="s">
        <v>55</v>
      </c>
      <c r="B188" s="23" t="s">
        <v>275</v>
      </c>
      <c r="C188" s="24" t="s">
        <v>280</v>
      </c>
      <c r="D188" s="25">
        <v>2685000.0</v>
      </c>
      <c r="E188" s="26">
        <v>1.0</v>
      </c>
      <c r="F188" s="27">
        <v>35.0</v>
      </c>
      <c r="G188" s="28">
        <v>25.0</v>
      </c>
      <c r="O188" s="8"/>
    </row>
    <row r="189">
      <c r="A189" s="23" t="s">
        <v>55</v>
      </c>
      <c r="B189" s="23" t="s">
        <v>275</v>
      </c>
      <c r="C189" s="24" t="s">
        <v>281</v>
      </c>
      <c r="D189" s="25">
        <v>2685000.0</v>
      </c>
      <c r="E189" s="26">
        <v>1.0</v>
      </c>
      <c r="F189" s="27">
        <v>35.0</v>
      </c>
      <c r="G189" s="28">
        <v>25.0</v>
      </c>
      <c r="O189" s="8"/>
    </row>
    <row r="190">
      <c r="A190" s="23" t="s">
        <v>55</v>
      </c>
      <c r="B190" s="23" t="s">
        <v>275</v>
      </c>
      <c r="C190" s="24" t="s">
        <v>282</v>
      </c>
      <c r="D190" s="25">
        <v>4085000.0</v>
      </c>
      <c r="E190" s="26">
        <v>2.0</v>
      </c>
      <c r="F190" s="27">
        <v>50.0</v>
      </c>
      <c r="G190" s="28">
        <v>35.0</v>
      </c>
      <c r="O190" s="8"/>
    </row>
    <row r="191">
      <c r="A191" s="23" t="s">
        <v>55</v>
      </c>
      <c r="B191" s="23" t="s">
        <v>275</v>
      </c>
      <c r="C191" s="24" t="s">
        <v>283</v>
      </c>
      <c r="D191" s="25">
        <v>4455000.0</v>
      </c>
      <c r="E191" s="26">
        <v>1.0</v>
      </c>
      <c r="F191" s="27">
        <v>35.0</v>
      </c>
      <c r="G191" s="28">
        <v>25.0</v>
      </c>
      <c r="O191" s="8"/>
    </row>
    <row r="192">
      <c r="A192" s="23" t="s">
        <v>55</v>
      </c>
      <c r="B192" s="23" t="s">
        <v>284</v>
      </c>
      <c r="C192" s="24" t="s">
        <v>285</v>
      </c>
      <c r="D192" s="25">
        <v>2300000.0</v>
      </c>
      <c r="E192" s="26">
        <v>1.0</v>
      </c>
      <c r="F192" s="27">
        <v>60.0</v>
      </c>
      <c r="G192" s="28">
        <v>50.0</v>
      </c>
      <c r="O192" s="8"/>
    </row>
    <row r="193">
      <c r="A193" s="23" t="s">
        <v>55</v>
      </c>
      <c r="B193" s="23" t="s">
        <v>88</v>
      </c>
      <c r="C193" s="24" t="s">
        <v>286</v>
      </c>
      <c r="D193" s="25">
        <v>2219000.0</v>
      </c>
      <c r="E193" s="26">
        <v>13.0</v>
      </c>
      <c r="F193" s="27">
        <v>40.0</v>
      </c>
      <c r="G193" s="28" t="s">
        <v>155</v>
      </c>
      <c r="O193" s="8"/>
    </row>
    <row r="194">
      <c r="A194" s="23" t="s">
        <v>55</v>
      </c>
      <c r="B194" s="23" t="s">
        <v>88</v>
      </c>
      <c r="C194" s="24" t="s">
        <v>287</v>
      </c>
      <c r="D194" s="25">
        <v>2109000.0</v>
      </c>
      <c r="E194" s="26">
        <v>6.0</v>
      </c>
      <c r="F194" s="27">
        <v>40.0</v>
      </c>
      <c r="G194" s="28" t="s">
        <v>155</v>
      </c>
      <c r="O194" s="8"/>
    </row>
    <row r="195">
      <c r="A195" s="23" t="s">
        <v>55</v>
      </c>
      <c r="B195" s="23" t="s">
        <v>88</v>
      </c>
      <c r="C195" s="24" t="s">
        <v>288</v>
      </c>
      <c r="D195" s="25">
        <v>2059000.0</v>
      </c>
      <c r="E195" s="26">
        <v>16.0</v>
      </c>
      <c r="F195" s="27">
        <v>40.0</v>
      </c>
      <c r="G195" s="28" t="s">
        <v>155</v>
      </c>
      <c r="O195" s="8"/>
    </row>
    <row r="196">
      <c r="A196" s="23" t="s">
        <v>55</v>
      </c>
      <c r="B196" s="23" t="s">
        <v>88</v>
      </c>
      <c r="C196" s="24" t="s">
        <v>289</v>
      </c>
      <c r="D196" s="25">
        <v>1.1379E7</v>
      </c>
      <c r="E196" s="26">
        <v>6.0</v>
      </c>
      <c r="F196" s="27">
        <v>40.0</v>
      </c>
      <c r="G196" s="28" t="s">
        <v>155</v>
      </c>
      <c r="O196" s="8"/>
    </row>
    <row r="197">
      <c r="A197" s="23" t="s">
        <v>55</v>
      </c>
      <c r="B197" s="23" t="s">
        <v>88</v>
      </c>
      <c r="C197" s="24" t="s">
        <v>290</v>
      </c>
      <c r="D197" s="25">
        <v>1.1379E7</v>
      </c>
      <c r="E197" s="26">
        <v>9.0</v>
      </c>
      <c r="F197" s="27">
        <v>40.0</v>
      </c>
      <c r="G197" s="28" t="s">
        <v>155</v>
      </c>
      <c r="O197" s="8"/>
    </row>
    <row r="198">
      <c r="A198" s="23" t="s">
        <v>55</v>
      </c>
      <c r="B198" s="23" t="s">
        <v>88</v>
      </c>
      <c r="C198" s="24" t="s">
        <v>291</v>
      </c>
      <c r="D198" s="25">
        <v>1.1949E7</v>
      </c>
      <c r="E198" s="26">
        <v>4.0</v>
      </c>
      <c r="F198" s="27">
        <v>40.0</v>
      </c>
      <c r="G198" s="28" t="s">
        <v>155</v>
      </c>
      <c r="O198" s="8"/>
    </row>
    <row r="199">
      <c r="A199" s="23" t="s">
        <v>55</v>
      </c>
      <c r="B199" s="23" t="s">
        <v>88</v>
      </c>
      <c r="C199" s="24" t="s">
        <v>292</v>
      </c>
      <c r="D199" s="25">
        <v>1.1949E7</v>
      </c>
      <c r="E199" s="26">
        <v>8.0</v>
      </c>
      <c r="F199" s="27">
        <v>40.0</v>
      </c>
      <c r="G199" s="28" t="s">
        <v>155</v>
      </c>
      <c r="O199" s="8"/>
    </row>
    <row r="200">
      <c r="A200" s="23" t="s">
        <v>55</v>
      </c>
      <c r="B200" s="23" t="s">
        <v>88</v>
      </c>
      <c r="C200" s="24" t="s">
        <v>293</v>
      </c>
      <c r="D200" s="25">
        <v>3139000.0</v>
      </c>
      <c r="E200" s="26">
        <v>1.0</v>
      </c>
      <c r="F200" s="27">
        <v>40.0</v>
      </c>
      <c r="G200" s="28" t="s">
        <v>155</v>
      </c>
      <c r="O200" s="8"/>
    </row>
    <row r="201">
      <c r="A201" s="23" t="s">
        <v>55</v>
      </c>
      <c r="B201" s="23" t="s">
        <v>88</v>
      </c>
      <c r="C201" s="24" t="s">
        <v>294</v>
      </c>
      <c r="D201" s="25">
        <v>3139000.0</v>
      </c>
      <c r="E201" s="26">
        <v>3.0</v>
      </c>
      <c r="F201" s="27">
        <v>40.0</v>
      </c>
      <c r="G201" s="28" t="s">
        <v>155</v>
      </c>
      <c r="O201" s="8"/>
    </row>
    <row r="202">
      <c r="A202" s="23" t="s">
        <v>55</v>
      </c>
      <c r="B202" s="23" t="s">
        <v>88</v>
      </c>
      <c r="C202" s="24" t="s">
        <v>295</v>
      </c>
      <c r="D202" s="25">
        <v>4819000.0</v>
      </c>
      <c r="E202" s="26">
        <v>7.0</v>
      </c>
      <c r="F202" s="27">
        <v>40.0</v>
      </c>
      <c r="G202" s="28" t="s">
        <v>155</v>
      </c>
      <c r="O202" s="8"/>
    </row>
    <row r="203">
      <c r="A203" s="23" t="s">
        <v>55</v>
      </c>
      <c r="B203" s="23" t="s">
        <v>88</v>
      </c>
      <c r="C203" s="24" t="s">
        <v>296</v>
      </c>
      <c r="D203" s="25">
        <v>2719000.0</v>
      </c>
      <c r="E203" s="26">
        <v>12.0</v>
      </c>
      <c r="F203" s="27">
        <v>40.0</v>
      </c>
      <c r="G203" s="28" t="s">
        <v>155</v>
      </c>
      <c r="O203" s="8"/>
    </row>
    <row r="204">
      <c r="A204" s="23" t="s">
        <v>55</v>
      </c>
      <c r="B204" s="23" t="s">
        <v>88</v>
      </c>
      <c r="C204" s="24" t="s">
        <v>297</v>
      </c>
      <c r="D204" s="25">
        <v>2109000.0</v>
      </c>
      <c r="E204" s="26">
        <v>2.0</v>
      </c>
      <c r="F204" s="27">
        <v>40.0</v>
      </c>
      <c r="G204" s="28" t="s">
        <v>155</v>
      </c>
      <c r="O204" s="8"/>
    </row>
    <row r="205">
      <c r="A205" s="23" t="s">
        <v>55</v>
      </c>
      <c r="B205" s="23" t="s">
        <v>88</v>
      </c>
      <c r="C205" s="24" t="s">
        <v>298</v>
      </c>
      <c r="D205" s="25">
        <v>2109000.0</v>
      </c>
      <c r="E205" s="26">
        <v>2.0</v>
      </c>
      <c r="F205" s="27">
        <v>40.0</v>
      </c>
      <c r="G205" s="28" t="s">
        <v>155</v>
      </c>
      <c r="O205" s="8"/>
    </row>
    <row r="206">
      <c r="A206" s="23" t="s">
        <v>55</v>
      </c>
      <c r="B206" s="23" t="s">
        <v>88</v>
      </c>
      <c r="C206" s="24" t="s">
        <v>299</v>
      </c>
      <c r="D206" s="25">
        <v>2219000.0</v>
      </c>
      <c r="E206" s="26">
        <v>2.0</v>
      </c>
      <c r="F206" s="27">
        <v>40.0</v>
      </c>
      <c r="G206" s="28" t="s">
        <v>155</v>
      </c>
      <c r="O206" s="8"/>
    </row>
    <row r="207">
      <c r="A207" s="23" t="s">
        <v>55</v>
      </c>
      <c r="B207" s="23" t="s">
        <v>88</v>
      </c>
      <c r="C207" s="24" t="s">
        <v>300</v>
      </c>
      <c r="D207" s="25">
        <v>2169000.0</v>
      </c>
      <c r="E207" s="26">
        <v>2.0</v>
      </c>
      <c r="F207" s="27">
        <v>40.0</v>
      </c>
      <c r="G207" s="28" t="s">
        <v>155</v>
      </c>
      <c r="O207" s="8"/>
    </row>
    <row r="208">
      <c r="A208" s="23" t="s">
        <v>55</v>
      </c>
      <c r="B208" s="23" t="s">
        <v>88</v>
      </c>
      <c r="C208" s="24" t="s">
        <v>301</v>
      </c>
      <c r="D208" s="25">
        <v>2439000.0</v>
      </c>
      <c r="E208" s="26">
        <v>2.0</v>
      </c>
      <c r="F208" s="27">
        <v>40.0</v>
      </c>
      <c r="G208" s="28" t="s">
        <v>155</v>
      </c>
      <c r="O208" s="8"/>
    </row>
    <row r="209">
      <c r="A209" s="23" t="s">
        <v>55</v>
      </c>
      <c r="B209" s="23" t="s">
        <v>88</v>
      </c>
      <c r="C209" s="24" t="s">
        <v>302</v>
      </c>
      <c r="D209" s="25">
        <v>2929000.0</v>
      </c>
      <c r="E209" s="26">
        <v>3.0</v>
      </c>
      <c r="F209" s="27">
        <v>40.0</v>
      </c>
      <c r="G209" s="28" t="s">
        <v>155</v>
      </c>
      <c r="O209" s="8"/>
    </row>
    <row r="210">
      <c r="A210" s="23" t="s">
        <v>55</v>
      </c>
      <c r="B210" s="23" t="s">
        <v>88</v>
      </c>
      <c r="C210" s="24" t="s">
        <v>303</v>
      </c>
      <c r="D210" s="25">
        <v>2109000.0</v>
      </c>
      <c r="E210" s="26">
        <v>3.0</v>
      </c>
      <c r="F210" s="27">
        <v>40.0</v>
      </c>
      <c r="G210" s="28" t="s">
        <v>155</v>
      </c>
      <c r="O210" s="8"/>
    </row>
    <row r="211">
      <c r="A211" s="23" t="s">
        <v>55</v>
      </c>
      <c r="B211" s="23" t="s">
        <v>88</v>
      </c>
      <c r="C211" s="24" t="s">
        <v>304</v>
      </c>
      <c r="D211" s="25">
        <v>2109000.0</v>
      </c>
      <c r="E211" s="26">
        <v>5.0</v>
      </c>
      <c r="F211" s="27">
        <v>40.0</v>
      </c>
      <c r="G211" s="28" t="s">
        <v>155</v>
      </c>
      <c r="O211" s="8"/>
    </row>
    <row r="212">
      <c r="A212" s="23" t="s">
        <v>55</v>
      </c>
      <c r="B212" s="23" t="s">
        <v>88</v>
      </c>
      <c r="C212" s="24" t="s">
        <v>305</v>
      </c>
      <c r="D212" s="25">
        <v>2889000.0</v>
      </c>
      <c r="E212" s="26">
        <v>1.0</v>
      </c>
      <c r="F212" s="27">
        <v>40.0</v>
      </c>
      <c r="G212" s="28" t="s">
        <v>155</v>
      </c>
      <c r="O212" s="8"/>
    </row>
    <row r="213">
      <c r="A213" s="23" t="s">
        <v>55</v>
      </c>
      <c r="B213" s="23" t="s">
        <v>88</v>
      </c>
      <c r="C213" s="24" t="s">
        <v>306</v>
      </c>
      <c r="D213" s="25">
        <v>2489000.0</v>
      </c>
      <c r="E213" s="26">
        <v>9.0</v>
      </c>
      <c r="F213" s="27">
        <v>40.0</v>
      </c>
      <c r="G213" s="28" t="s">
        <v>155</v>
      </c>
      <c r="O213" s="8"/>
    </row>
    <row r="214">
      <c r="A214" s="23" t="s">
        <v>55</v>
      </c>
      <c r="B214" s="23" t="s">
        <v>88</v>
      </c>
      <c r="C214" s="24" t="s">
        <v>307</v>
      </c>
      <c r="D214" s="25">
        <v>1999000.0</v>
      </c>
      <c r="E214" s="26">
        <v>1.0</v>
      </c>
      <c r="F214" s="27">
        <v>40.0</v>
      </c>
      <c r="G214" s="28" t="s">
        <v>155</v>
      </c>
      <c r="O214" s="8"/>
    </row>
    <row r="215">
      <c r="A215" s="23" t="s">
        <v>55</v>
      </c>
      <c r="B215" s="23" t="s">
        <v>88</v>
      </c>
      <c r="C215" s="24" t="s">
        <v>308</v>
      </c>
      <c r="D215" s="25">
        <v>2979000.0</v>
      </c>
      <c r="E215" s="26">
        <v>5.0</v>
      </c>
      <c r="F215" s="27">
        <v>40.0</v>
      </c>
      <c r="G215" s="28" t="s">
        <v>155</v>
      </c>
      <c r="O215" s="8"/>
    </row>
    <row r="216">
      <c r="A216" s="23" t="s">
        <v>55</v>
      </c>
      <c r="B216" s="23" t="s">
        <v>88</v>
      </c>
      <c r="C216" s="24" t="s">
        <v>309</v>
      </c>
      <c r="D216" s="25">
        <v>2219000.0</v>
      </c>
      <c r="E216" s="26">
        <v>20.0</v>
      </c>
      <c r="F216" s="27">
        <v>40.0</v>
      </c>
      <c r="G216" s="28" t="s">
        <v>155</v>
      </c>
      <c r="O216" s="8"/>
    </row>
    <row r="217">
      <c r="A217" s="23" t="s">
        <v>55</v>
      </c>
      <c r="B217" s="23" t="s">
        <v>88</v>
      </c>
      <c r="C217" s="24" t="s">
        <v>310</v>
      </c>
      <c r="D217" s="25">
        <v>2269000.0</v>
      </c>
      <c r="E217" s="26">
        <v>2.0</v>
      </c>
      <c r="F217" s="27">
        <v>40.0</v>
      </c>
      <c r="G217" s="28" t="s">
        <v>155</v>
      </c>
      <c r="O217" s="8"/>
    </row>
    <row r="218">
      <c r="A218" s="23" t="s">
        <v>55</v>
      </c>
      <c r="B218" s="23" t="s">
        <v>88</v>
      </c>
      <c r="C218" s="24" t="s">
        <v>311</v>
      </c>
      <c r="D218" s="25">
        <v>2109000.0</v>
      </c>
      <c r="E218" s="26">
        <v>1.0</v>
      </c>
      <c r="F218" s="27">
        <v>40.0</v>
      </c>
      <c r="G218" s="28" t="s">
        <v>155</v>
      </c>
      <c r="O218" s="8"/>
    </row>
    <row r="219">
      <c r="A219" s="23" t="s">
        <v>55</v>
      </c>
      <c r="B219" s="23" t="s">
        <v>88</v>
      </c>
      <c r="C219" s="24" t="s">
        <v>312</v>
      </c>
      <c r="D219" s="25">
        <v>2709000.0</v>
      </c>
      <c r="E219" s="26">
        <v>14.0</v>
      </c>
      <c r="F219" s="27">
        <v>40.0</v>
      </c>
      <c r="G219" s="28" t="s">
        <v>155</v>
      </c>
      <c r="O219" s="8"/>
    </row>
    <row r="220">
      <c r="A220" s="23" t="s">
        <v>55</v>
      </c>
      <c r="B220" s="23" t="s">
        <v>88</v>
      </c>
      <c r="C220" s="24" t="s">
        <v>313</v>
      </c>
      <c r="D220" s="25">
        <v>2489000.0</v>
      </c>
      <c r="E220" s="26">
        <v>4.0</v>
      </c>
      <c r="F220" s="27">
        <v>40.0</v>
      </c>
      <c r="G220" s="28" t="s">
        <v>155</v>
      </c>
      <c r="O220" s="8"/>
    </row>
    <row r="221">
      <c r="A221" s="23" t="s">
        <v>55</v>
      </c>
      <c r="B221" s="23" t="s">
        <v>88</v>
      </c>
      <c r="C221" s="24" t="s">
        <v>314</v>
      </c>
      <c r="D221" s="25">
        <v>3869000.0</v>
      </c>
      <c r="E221" s="26">
        <v>4.0</v>
      </c>
      <c r="F221" s="27">
        <v>40.0</v>
      </c>
      <c r="G221" s="28" t="s">
        <v>155</v>
      </c>
      <c r="O221" s="8"/>
    </row>
    <row r="222">
      <c r="A222" s="23" t="s">
        <v>55</v>
      </c>
      <c r="B222" s="23" t="s">
        <v>88</v>
      </c>
      <c r="C222" s="24" t="s">
        <v>315</v>
      </c>
      <c r="D222" s="25">
        <v>2439000.0</v>
      </c>
      <c r="E222" s="26">
        <v>4.0</v>
      </c>
      <c r="F222" s="27">
        <v>40.0</v>
      </c>
      <c r="G222" s="28" t="s">
        <v>155</v>
      </c>
      <c r="O222" s="8"/>
    </row>
    <row r="223">
      <c r="A223" s="23" t="s">
        <v>55</v>
      </c>
      <c r="B223" s="23" t="s">
        <v>88</v>
      </c>
      <c r="C223" s="24" t="s">
        <v>316</v>
      </c>
      <c r="D223" s="25">
        <v>2819000.0</v>
      </c>
      <c r="E223" s="26">
        <v>4.0</v>
      </c>
      <c r="F223" s="27">
        <v>40.0</v>
      </c>
      <c r="G223" s="28" t="s">
        <v>155</v>
      </c>
      <c r="O223" s="8"/>
    </row>
    <row r="224">
      <c r="A224" s="23" t="s">
        <v>55</v>
      </c>
      <c r="B224" s="23" t="s">
        <v>88</v>
      </c>
      <c r="C224" s="24" t="s">
        <v>317</v>
      </c>
      <c r="D224" s="25">
        <v>2379000.0</v>
      </c>
      <c r="E224" s="26">
        <v>2.0</v>
      </c>
      <c r="F224" s="27">
        <v>40.0</v>
      </c>
      <c r="G224" s="28" t="s">
        <v>155</v>
      </c>
      <c r="O224" s="8"/>
    </row>
    <row r="225">
      <c r="A225" s="23" t="s">
        <v>55</v>
      </c>
      <c r="B225" s="23" t="s">
        <v>88</v>
      </c>
      <c r="C225" s="24" t="s">
        <v>318</v>
      </c>
      <c r="D225" s="25">
        <v>2489000.0</v>
      </c>
      <c r="E225" s="26">
        <v>5.0</v>
      </c>
      <c r="F225" s="27">
        <v>40.0</v>
      </c>
      <c r="G225" s="28" t="s">
        <v>155</v>
      </c>
      <c r="O225" s="8"/>
    </row>
    <row r="226">
      <c r="A226" s="23" t="s">
        <v>55</v>
      </c>
      <c r="B226" s="23" t="s">
        <v>88</v>
      </c>
      <c r="C226" s="24" t="s">
        <v>319</v>
      </c>
      <c r="D226" s="25">
        <v>2979000.0</v>
      </c>
      <c r="E226" s="26">
        <v>2.0</v>
      </c>
      <c r="F226" s="27">
        <v>40.0</v>
      </c>
      <c r="G226" s="28" t="s">
        <v>155</v>
      </c>
      <c r="O226" s="8"/>
    </row>
    <row r="227">
      <c r="A227" s="23" t="s">
        <v>55</v>
      </c>
      <c r="B227" s="23" t="s">
        <v>88</v>
      </c>
      <c r="C227" s="24" t="s">
        <v>320</v>
      </c>
      <c r="D227" s="25">
        <v>2439000.0</v>
      </c>
      <c r="E227" s="26">
        <v>11.0</v>
      </c>
      <c r="F227" s="27">
        <v>50.0</v>
      </c>
      <c r="G227" s="28" t="s">
        <v>155</v>
      </c>
      <c r="O227" s="8"/>
    </row>
    <row r="228">
      <c r="A228" s="23" t="s">
        <v>55</v>
      </c>
      <c r="B228" s="23" t="s">
        <v>88</v>
      </c>
      <c r="C228" s="24" t="s">
        <v>321</v>
      </c>
      <c r="D228" s="25">
        <v>3249000.0</v>
      </c>
      <c r="E228" s="26">
        <v>5.0</v>
      </c>
      <c r="F228" s="27">
        <v>40.0</v>
      </c>
      <c r="G228" s="28" t="s">
        <v>155</v>
      </c>
      <c r="O228" s="8"/>
    </row>
    <row r="229">
      <c r="A229" s="23" t="s">
        <v>55</v>
      </c>
      <c r="B229" s="23" t="s">
        <v>88</v>
      </c>
      <c r="C229" s="24" t="s">
        <v>322</v>
      </c>
      <c r="D229" s="25">
        <v>2549000.0</v>
      </c>
      <c r="E229" s="26">
        <v>1.0</v>
      </c>
      <c r="F229" s="27">
        <v>40.0</v>
      </c>
      <c r="G229" s="28" t="s">
        <v>155</v>
      </c>
      <c r="O229" s="8"/>
    </row>
    <row r="230">
      <c r="A230" s="23" t="s">
        <v>55</v>
      </c>
      <c r="B230" s="23" t="s">
        <v>88</v>
      </c>
      <c r="C230" s="24" t="s">
        <v>323</v>
      </c>
      <c r="D230" s="25">
        <v>2759000.0</v>
      </c>
      <c r="E230" s="26">
        <v>2.0</v>
      </c>
      <c r="F230" s="27">
        <v>40.0</v>
      </c>
      <c r="G230" s="28" t="s">
        <v>155</v>
      </c>
      <c r="O230" s="8"/>
    </row>
    <row r="231">
      <c r="A231" s="23" t="s">
        <v>55</v>
      </c>
      <c r="B231" s="23" t="s">
        <v>88</v>
      </c>
      <c r="C231" s="24" t="s">
        <v>324</v>
      </c>
      <c r="D231" s="25">
        <v>3279000.0</v>
      </c>
      <c r="E231" s="26">
        <v>1.0</v>
      </c>
      <c r="F231" s="27">
        <v>40.0</v>
      </c>
      <c r="G231" s="28" t="s">
        <v>155</v>
      </c>
      <c r="O231" s="8"/>
    </row>
    <row r="232">
      <c r="A232" s="23" t="s">
        <v>55</v>
      </c>
      <c r="B232" s="23" t="s">
        <v>88</v>
      </c>
      <c r="C232" s="24" t="s">
        <v>325</v>
      </c>
      <c r="D232" s="25">
        <v>2599000.0</v>
      </c>
      <c r="E232" s="26">
        <v>4.0</v>
      </c>
      <c r="F232" s="27">
        <v>40.0</v>
      </c>
      <c r="G232" s="28" t="s">
        <v>155</v>
      </c>
      <c r="O232" s="8"/>
    </row>
    <row r="233">
      <c r="A233" s="23" t="s">
        <v>55</v>
      </c>
      <c r="B233" s="23" t="s">
        <v>88</v>
      </c>
      <c r="C233" s="24" t="s">
        <v>326</v>
      </c>
      <c r="D233" s="25">
        <v>4879000.0</v>
      </c>
      <c r="E233" s="26">
        <v>5.0</v>
      </c>
      <c r="F233" s="27">
        <v>40.0</v>
      </c>
      <c r="G233" s="28" t="s">
        <v>155</v>
      </c>
      <c r="O233" s="8"/>
    </row>
    <row r="234">
      <c r="A234" s="23" t="s">
        <v>55</v>
      </c>
      <c r="B234" s="23" t="s">
        <v>88</v>
      </c>
      <c r="C234" s="24" t="s">
        <v>327</v>
      </c>
      <c r="D234" s="25">
        <v>5119000.0</v>
      </c>
      <c r="E234" s="26">
        <v>2.0</v>
      </c>
      <c r="F234" s="27">
        <v>40.0</v>
      </c>
      <c r="G234" s="28" t="s">
        <v>155</v>
      </c>
      <c r="O234" s="8"/>
    </row>
    <row r="235">
      <c r="A235" s="23" t="s">
        <v>55</v>
      </c>
      <c r="B235" s="23" t="s">
        <v>88</v>
      </c>
      <c r="C235" s="24" t="s">
        <v>328</v>
      </c>
      <c r="D235" s="25">
        <v>4169000.0</v>
      </c>
      <c r="E235" s="26">
        <v>34.0</v>
      </c>
      <c r="F235" s="27">
        <v>50.0</v>
      </c>
      <c r="G235" s="28" t="s">
        <v>155</v>
      </c>
      <c r="O235" s="8"/>
    </row>
    <row r="236">
      <c r="A236" s="23" t="s">
        <v>55</v>
      </c>
      <c r="B236" s="23" t="s">
        <v>88</v>
      </c>
      <c r="C236" s="24" t="s">
        <v>329</v>
      </c>
      <c r="D236" s="25">
        <v>5089000.0</v>
      </c>
      <c r="E236" s="26">
        <v>4.0</v>
      </c>
      <c r="F236" s="27">
        <v>40.0</v>
      </c>
      <c r="G236" s="28" t="s">
        <v>155</v>
      </c>
      <c r="O236" s="8"/>
    </row>
    <row r="237">
      <c r="A237" s="23" t="s">
        <v>55</v>
      </c>
      <c r="B237" s="23" t="s">
        <v>88</v>
      </c>
      <c r="C237" s="24" t="s">
        <v>330</v>
      </c>
      <c r="D237" s="25">
        <v>4929000.0</v>
      </c>
      <c r="E237" s="26">
        <v>2.0</v>
      </c>
      <c r="F237" s="27">
        <v>40.0</v>
      </c>
      <c r="G237" s="28" t="s">
        <v>155</v>
      </c>
      <c r="O237" s="8"/>
    </row>
    <row r="238">
      <c r="A238" s="23" t="s">
        <v>55</v>
      </c>
      <c r="B238" s="23" t="s">
        <v>88</v>
      </c>
      <c r="C238" s="24" t="s">
        <v>331</v>
      </c>
      <c r="D238" s="25">
        <v>3309000.0</v>
      </c>
      <c r="E238" s="26">
        <v>1.0</v>
      </c>
      <c r="F238" s="27">
        <v>40.0</v>
      </c>
      <c r="G238" s="28" t="s">
        <v>155</v>
      </c>
      <c r="O238" s="8"/>
    </row>
    <row r="239">
      <c r="A239" s="23" t="s">
        <v>55</v>
      </c>
      <c r="B239" s="23" t="s">
        <v>88</v>
      </c>
      <c r="C239" s="24" t="s">
        <v>332</v>
      </c>
      <c r="D239" s="25">
        <v>3309000.0</v>
      </c>
      <c r="E239" s="26">
        <v>1.0</v>
      </c>
      <c r="F239" s="27">
        <v>40.0</v>
      </c>
      <c r="G239" s="28" t="s">
        <v>155</v>
      </c>
      <c r="O239" s="8"/>
    </row>
    <row r="240">
      <c r="A240" s="23" t="s">
        <v>55</v>
      </c>
      <c r="B240" s="23" t="s">
        <v>88</v>
      </c>
      <c r="C240" s="24" t="s">
        <v>333</v>
      </c>
      <c r="D240" s="25">
        <v>5379000.0</v>
      </c>
      <c r="E240" s="26">
        <v>1.0</v>
      </c>
      <c r="F240" s="27">
        <v>40.0</v>
      </c>
      <c r="G240" s="28" t="s">
        <v>155</v>
      </c>
      <c r="O240" s="8"/>
    </row>
    <row r="241">
      <c r="A241" s="23" t="s">
        <v>55</v>
      </c>
      <c r="B241" s="23" t="s">
        <v>88</v>
      </c>
      <c r="C241" s="24" t="s">
        <v>334</v>
      </c>
      <c r="D241" s="25">
        <v>2469000.0</v>
      </c>
      <c r="E241" s="26">
        <v>2.0</v>
      </c>
      <c r="F241" s="27">
        <v>40.0</v>
      </c>
      <c r="G241" s="28" t="s">
        <v>155</v>
      </c>
      <c r="O241" s="8"/>
    </row>
    <row r="242">
      <c r="A242" s="23" t="s">
        <v>55</v>
      </c>
      <c r="B242" s="23" t="s">
        <v>88</v>
      </c>
      <c r="C242" s="24" t="s">
        <v>335</v>
      </c>
      <c r="D242" s="25">
        <v>2539000.0</v>
      </c>
      <c r="E242" s="26">
        <v>5.0</v>
      </c>
      <c r="F242" s="27">
        <v>40.0</v>
      </c>
      <c r="G242" s="28" t="s">
        <v>155</v>
      </c>
      <c r="O242" s="8"/>
    </row>
    <row r="243">
      <c r="A243" s="23" t="s">
        <v>55</v>
      </c>
      <c r="B243" s="23" t="s">
        <v>88</v>
      </c>
      <c r="C243" s="24" t="s">
        <v>336</v>
      </c>
      <c r="D243" s="25">
        <v>2599000.0</v>
      </c>
      <c r="E243" s="26">
        <v>3.0</v>
      </c>
      <c r="F243" s="27">
        <v>40.0</v>
      </c>
      <c r="G243" s="28" t="s">
        <v>155</v>
      </c>
      <c r="O243" s="8"/>
    </row>
    <row r="244">
      <c r="A244" s="23" t="s">
        <v>55</v>
      </c>
      <c r="B244" s="23" t="s">
        <v>88</v>
      </c>
      <c r="C244" s="24" t="s">
        <v>337</v>
      </c>
      <c r="D244" s="25">
        <v>2599000.0</v>
      </c>
      <c r="E244" s="26">
        <v>3.0</v>
      </c>
      <c r="F244" s="27">
        <v>40.0</v>
      </c>
      <c r="G244" s="28" t="s">
        <v>155</v>
      </c>
      <c r="O244" s="8"/>
    </row>
    <row r="245">
      <c r="A245" s="23" t="s">
        <v>55</v>
      </c>
      <c r="B245" s="23" t="s">
        <v>88</v>
      </c>
      <c r="C245" s="24" t="s">
        <v>338</v>
      </c>
      <c r="D245" s="25">
        <v>2599000.0</v>
      </c>
      <c r="E245" s="26">
        <v>5.0</v>
      </c>
      <c r="F245" s="27">
        <v>40.0</v>
      </c>
      <c r="G245" s="28" t="s">
        <v>155</v>
      </c>
      <c r="O245" s="8"/>
    </row>
    <row r="246">
      <c r="A246" s="23" t="s">
        <v>55</v>
      </c>
      <c r="B246" s="23" t="s">
        <v>88</v>
      </c>
      <c r="C246" s="24" t="s">
        <v>339</v>
      </c>
      <c r="D246" s="25">
        <v>2599000.0</v>
      </c>
      <c r="E246" s="26">
        <v>3.0</v>
      </c>
      <c r="F246" s="27">
        <v>40.0</v>
      </c>
      <c r="G246" s="28" t="s">
        <v>155</v>
      </c>
      <c r="O246" s="8"/>
    </row>
    <row r="247">
      <c r="A247" s="23" t="s">
        <v>55</v>
      </c>
      <c r="B247" s="23" t="s">
        <v>88</v>
      </c>
      <c r="C247" s="24" t="s">
        <v>340</v>
      </c>
      <c r="D247" s="25">
        <v>3399000.0</v>
      </c>
      <c r="E247" s="26">
        <v>6.0</v>
      </c>
      <c r="F247" s="27">
        <v>50.0</v>
      </c>
      <c r="G247" s="28" t="s">
        <v>155</v>
      </c>
      <c r="O247" s="8"/>
    </row>
    <row r="248">
      <c r="A248" s="23" t="s">
        <v>55</v>
      </c>
      <c r="B248" s="23" t="s">
        <v>88</v>
      </c>
      <c r="C248" s="24" t="s">
        <v>341</v>
      </c>
      <c r="D248" s="25">
        <v>2929000.0</v>
      </c>
      <c r="E248" s="26">
        <v>8.0</v>
      </c>
      <c r="F248" s="27">
        <v>40.0</v>
      </c>
      <c r="G248" s="28" t="s">
        <v>155</v>
      </c>
      <c r="O248" s="8"/>
    </row>
    <row r="249">
      <c r="A249" s="23" t="s">
        <v>55</v>
      </c>
      <c r="B249" s="23" t="s">
        <v>88</v>
      </c>
      <c r="C249" s="24" t="s">
        <v>342</v>
      </c>
      <c r="D249" s="25">
        <v>2929000.0</v>
      </c>
      <c r="E249" s="26">
        <v>11.0</v>
      </c>
      <c r="F249" s="27">
        <v>40.0</v>
      </c>
      <c r="G249" s="28" t="s">
        <v>155</v>
      </c>
      <c r="O249" s="8"/>
    </row>
    <row r="250">
      <c r="A250" s="23" t="s">
        <v>55</v>
      </c>
      <c r="B250" s="23" t="s">
        <v>88</v>
      </c>
      <c r="C250" s="24" t="s">
        <v>343</v>
      </c>
      <c r="D250" s="25">
        <v>3409000.0</v>
      </c>
      <c r="E250" s="26">
        <v>5.0</v>
      </c>
      <c r="F250" s="27">
        <v>40.0</v>
      </c>
      <c r="G250" s="28" t="s">
        <v>155</v>
      </c>
      <c r="O250" s="8"/>
    </row>
    <row r="251">
      <c r="A251" s="23" t="s">
        <v>55</v>
      </c>
      <c r="B251" s="23" t="s">
        <v>88</v>
      </c>
      <c r="C251" s="24" t="s">
        <v>344</v>
      </c>
      <c r="D251" s="25">
        <v>3089000.0</v>
      </c>
      <c r="E251" s="26">
        <v>1.0</v>
      </c>
      <c r="F251" s="27">
        <v>40.0</v>
      </c>
      <c r="G251" s="28" t="s">
        <v>155</v>
      </c>
      <c r="O251" s="8"/>
    </row>
    <row r="252">
      <c r="A252" s="23" t="s">
        <v>55</v>
      </c>
      <c r="B252" s="23" t="s">
        <v>88</v>
      </c>
      <c r="C252" s="24" t="s">
        <v>345</v>
      </c>
      <c r="D252" s="25">
        <v>2609000.0</v>
      </c>
      <c r="E252" s="26">
        <v>2.0</v>
      </c>
      <c r="F252" s="27">
        <v>40.0</v>
      </c>
      <c r="G252" s="28" t="s">
        <v>155</v>
      </c>
      <c r="O252" s="8"/>
    </row>
    <row r="253">
      <c r="A253" s="23" t="s">
        <v>55</v>
      </c>
      <c r="B253" s="23" t="s">
        <v>88</v>
      </c>
      <c r="C253" s="24" t="s">
        <v>346</v>
      </c>
      <c r="D253" s="25">
        <v>2929000.0</v>
      </c>
      <c r="E253" s="26">
        <v>2.0</v>
      </c>
      <c r="F253" s="27">
        <v>40.0</v>
      </c>
      <c r="G253" s="28" t="s">
        <v>155</v>
      </c>
      <c r="O253" s="8"/>
    </row>
    <row r="254">
      <c r="A254" s="23" t="s">
        <v>55</v>
      </c>
      <c r="B254" s="23" t="s">
        <v>88</v>
      </c>
      <c r="C254" s="24" t="s">
        <v>347</v>
      </c>
      <c r="D254" s="25">
        <v>3179000.0</v>
      </c>
      <c r="E254" s="26">
        <v>4.0</v>
      </c>
      <c r="F254" s="27">
        <v>40.0</v>
      </c>
      <c r="G254" s="28" t="s">
        <v>155</v>
      </c>
      <c r="O254" s="8"/>
    </row>
    <row r="255">
      <c r="A255" s="23" t="s">
        <v>55</v>
      </c>
      <c r="B255" s="23" t="s">
        <v>88</v>
      </c>
      <c r="C255" s="24" t="s">
        <v>348</v>
      </c>
      <c r="D255" s="25">
        <v>3739000.0</v>
      </c>
      <c r="E255" s="26">
        <v>1.0</v>
      </c>
      <c r="F255" s="27">
        <v>40.0</v>
      </c>
      <c r="G255" s="28" t="s">
        <v>155</v>
      </c>
      <c r="O255" s="8"/>
    </row>
    <row r="256">
      <c r="A256" s="23" t="s">
        <v>55</v>
      </c>
      <c r="B256" s="23" t="s">
        <v>88</v>
      </c>
      <c r="C256" s="24" t="s">
        <v>349</v>
      </c>
      <c r="D256" s="25">
        <v>2889000.0</v>
      </c>
      <c r="E256" s="26">
        <v>1.0</v>
      </c>
      <c r="F256" s="27">
        <v>40.0</v>
      </c>
      <c r="G256" s="28" t="s">
        <v>155</v>
      </c>
      <c r="O256" s="8"/>
    </row>
    <row r="257">
      <c r="A257" s="23" t="s">
        <v>55</v>
      </c>
      <c r="B257" s="23" t="s">
        <v>88</v>
      </c>
      <c r="C257" s="24" t="s">
        <v>350</v>
      </c>
      <c r="D257" s="25">
        <v>3739000.0</v>
      </c>
      <c r="E257" s="26">
        <v>5.0</v>
      </c>
      <c r="F257" s="27">
        <v>40.0</v>
      </c>
      <c r="G257" s="28" t="s">
        <v>155</v>
      </c>
      <c r="O257" s="8"/>
    </row>
    <row r="258">
      <c r="A258" s="23" t="s">
        <v>55</v>
      </c>
      <c r="B258" s="23" t="s">
        <v>88</v>
      </c>
      <c r="C258" s="24" t="s">
        <v>351</v>
      </c>
      <c r="D258" s="25">
        <v>2469000.0</v>
      </c>
      <c r="E258" s="26">
        <v>5.0</v>
      </c>
      <c r="F258" s="27">
        <v>40.0</v>
      </c>
      <c r="G258" s="28" t="s">
        <v>155</v>
      </c>
      <c r="O258" s="8"/>
    </row>
    <row r="259">
      <c r="A259" s="23" t="s">
        <v>55</v>
      </c>
      <c r="B259" s="23" t="s">
        <v>88</v>
      </c>
      <c r="C259" s="24" t="s">
        <v>352</v>
      </c>
      <c r="D259" s="25">
        <v>2619000.0</v>
      </c>
      <c r="E259" s="26">
        <v>4.0</v>
      </c>
      <c r="F259" s="27">
        <v>40.0</v>
      </c>
      <c r="G259" s="28" t="s">
        <v>155</v>
      </c>
      <c r="O259" s="8"/>
    </row>
    <row r="260">
      <c r="A260" s="23" t="s">
        <v>55</v>
      </c>
      <c r="B260" s="23" t="s">
        <v>88</v>
      </c>
      <c r="C260" s="24" t="s">
        <v>353</v>
      </c>
      <c r="D260" s="25">
        <v>2279000.0</v>
      </c>
      <c r="E260" s="26">
        <v>4.0</v>
      </c>
      <c r="F260" s="27">
        <v>40.0</v>
      </c>
      <c r="G260" s="28" t="s">
        <v>155</v>
      </c>
      <c r="O260" s="8"/>
    </row>
    <row r="261">
      <c r="A261" s="23" t="s">
        <v>55</v>
      </c>
      <c r="B261" s="23" t="s">
        <v>88</v>
      </c>
      <c r="C261" s="24" t="s">
        <v>354</v>
      </c>
      <c r="D261" s="25">
        <v>2599000.0</v>
      </c>
      <c r="E261" s="26">
        <v>1.0</v>
      </c>
      <c r="F261" s="27">
        <v>40.0</v>
      </c>
      <c r="G261" s="28" t="s">
        <v>155</v>
      </c>
      <c r="O261" s="8"/>
    </row>
    <row r="262">
      <c r="A262" s="23" t="s">
        <v>55</v>
      </c>
      <c r="B262" s="23" t="s">
        <v>88</v>
      </c>
      <c r="C262" s="24" t="s">
        <v>355</v>
      </c>
      <c r="D262" s="25">
        <v>2279000.0</v>
      </c>
      <c r="E262" s="26">
        <v>1.0</v>
      </c>
      <c r="F262" s="27">
        <v>40.0</v>
      </c>
      <c r="G262" s="28" t="s">
        <v>155</v>
      </c>
      <c r="O262" s="8"/>
    </row>
    <row r="263">
      <c r="A263" s="23" t="s">
        <v>55</v>
      </c>
      <c r="B263" s="23" t="s">
        <v>88</v>
      </c>
      <c r="C263" s="24" t="s">
        <v>356</v>
      </c>
      <c r="D263" s="25">
        <v>2929000.0</v>
      </c>
      <c r="E263" s="26">
        <v>21.0</v>
      </c>
      <c r="F263" s="27">
        <v>40.0</v>
      </c>
      <c r="G263" s="28" t="s">
        <v>155</v>
      </c>
      <c r="O263" s="8"/>
    </row>
    <row r="264">
      <c r="A264" s="23" t="s">
        <v>55</v>
      </c>
      <c r="B264" s="23" t="s">
        <v>88</v>
      </c>
      <c r="C264" s="24" t="s">
        <v>357</v>
      </c>
      <c r="D264" s="25">
        <v>2169000.0</v>
      </c>
      <c r="E264" s="26">
        <v>7.0</v>
      </c>
      <c r="F264" s="27">
        <v>40.0</v>
      </c>
      <c r="G264" s="28" t="s">
        <v>155</v>
      </c>
      <c r="O264" s="8"/>
    </row>
    <row r="265">
      <c r="A265" s="23" t="s">
        <v>55</v>
      </c>
      <c r="B265" s="23" t="s">
        <v>88</v>
      </c>
      <c r="C265" s="24" t="s">
        <v>358</v>
      </c>
      <c r="D265" s="25">
        <v>2279000.0</v>
      </c>
      <c r="E265" s="26">
        <v>1.0</v>
      </c>
      <c r="F265" s="27">
        <v>40.0</v>
      </c>
      <c r="G265" s="28" t="s">
        <v>155</v>
      </c>
      <c r="O265" s="8"/>
    </row>
    <row r="266">
      <c r="A266" s="23" t="s">
        <v>55</v>
      </c>
      <c r="B266" s="23" t="s">
        <v>88</v>
      </c>
      <c r="C266" s="24" t="s">
        <v>359</v>
      </c>
      <c r="D266" s="25">
        <v>2869000.0</v>
      </c>
      <c r="E266" s="26">
        <v>7.0</v>
      </c>
      <c r="F266" s="27">
        <v>40.0</v>
      </c>
      <c r="G266" s="28" t="s">
        <v>155</v>
      </c>
      <c r="O266" s="8"/>
    </row>
    <row r="267">
      <c r="A267" s="23" t="s">
        <v>55</v>
      </c>
      <c r="B267" s="23" t="s">
        <v>88</v>
      </c>
      <c r="C267" s="24" t="s">
        <v>360</v>
      </c>
      <c r="D267" s="25">
        <v>2599000.0</v>
      </c>
      <c r="E267" s="26">
        <v>10.0</v>
      </c>
      <c r="F267" s="27">
        <v>40.0</v>
      </c>
      <c r="G267" s="28" t="s">
        <v>155</v>
      </c>
      <c r="O267" s="8"/>
    </row>
    <row r="268">
      <c r="A268" s="23" t="s">
        <v>55</v>
      </c>
      <c r="B268" s="23" t="s">
        <v>88</v>
      </c>
      <c r="C268" s="24" t="s">
        <v>361</v>
      </c>
      <c r="D268" s="25">
        <v>2279000.0</v>
      </c>
      <c r="E268" s="26">
        <v>9.0</v>
      </c>
      <c r="F268" s="27">
        <v>40.0</v>
      </c>
      <c r="G268" s="28" t="s">
        <v>155</v>
      </c>
      <c r="O268" s="8"/>
    </row>
    <row r="269">
      <c r="A269" s="23" t="s">
        <v>55</v>
      </c>
      <c r="B269" s="23" t="s">
        <v>88</v>
      </c>
      <c r="C269" s="24" t="s">
        <v>362</v>
      </c>
      <c r="D269" s="25">
        <v>2599000.0</v>
      </c>
      <c r="E269" s="26">
        <v>4.0</v>
      </c>
      <c r="F269" s="27">
        <v>40.0</v>
      </c>
      <c r="G269" s="28" t="s">
        <v>155</v>
      </c>
      <c r="O269" s="8"/>
    </row>
    <row r="270">
      <c r="A270" s="23" t="s">
        <v>55</v>
      </c>
      <c r="B270" s="23" t="s">
        <v>88</v>
      </c>
      <c r="C270" s="24" t="s">
        <v>363</v>
      </c>
      <c r="D270" s="25">
        <v>2279000.0</v>
      </c>
      <c r="E270" s="26">
        <v>4.0</v>
      </c>
      <c r="F270" s="27">
        <v>40.0</v>
      </c>
      <c r="G270" s="28" t="s">
        <v>155</v>
      </c>
      <c r="O270" s="8"/>
    </row>
    <row r="271">
      <c r="A271" s="23" t="s">
        <v>55</v>
      </c>
      <c r="B271" s="23" t="s">
        <v>88</v>
      </c>
      <c r="C271" s="24" t="s">
        <v>364</v>
      </c>
      <c r="D271" s="25">
        <v>2759000.0</v>
      </c>
      <c r="E271" s="26">
        <v>3.0</v>
      </c>
      <c r="F271" s="27">
        <v>40.0</v>
      </c>
      <c r="G271" s="28" t="s">
        <v>155</v>
      </c>
      <c r="O271" s="8"/>
    </row>
    <row r="272">
      <c r="A272" s="23" t="s">
        <v>55</v>
      </c>
      <c r="B272" s="23" t="s">
        <v>88</v>
      </c>
      <c r="C272" s="24" t="s">
        <v>365</v>
      </c>
      <c r="D272" s="25">
        <v>2669000.0</v>
      </c>
      <c r="E272" s="26">
        <v>1.0</v>
      </c>
      <c r="F272" s="27">
        <v>40.0</v>
      </c>
      <c r="G272" s="28" t="s">
        <v>155</v>
      </c>
      <c r="O272" s="8"/>
    </row>
    <row r="273">
      <c r="A273" s="23" t="s">
        <v>55</v>
      </c>
      <c r="B273" s="23" t="s">
        <v>88</v>
      </c>
      <c r="C273" s="24" t="s">
        <v>366</v>
      </c>
      <c r="D273" s="25">
        <v>2669000.0</v>
      </c>
      <c r="E273" s="26">
        <v>1.0</v>
      </c>
      <c r="F273" s="27">
        <v>40.0</v>
      </c>
      <c r="G273" s="28" t="s">
        <v>155</v>
      </c>
      <c r="O273" s="8"/>
    </row>
    <row r="274">
      <c r="A274" s="23" t="s">
        <v>55</v>
      </c>
      <c r="B274" s="23" t="s">
        <v>88</v>
      </c>
      <c r="C274" s="24" t="s">
        <v>367</v>
      </c>
      <c r="D274" s="25">
        <v>2669000.0</v>
      </c>
      <c r="E274" s="26">
        <v>2.0</v>
      </c>
      <c r="F274" s="27">
        <v>40.0</v>
      </c>
      <c r="G274" s="28" t="s">
        <v>155</v>
      </c>
      <c r="O274" s="8"/>
    </row>
    <row r="275">
      <c r="A275" s="23" t="s">
        <v>55</v>
      </c>
      <c r="B275" s="23" t="s">
        <v>88</v>
      </c>
      <c r="C275" s="24" t="s">
        <v>368</v>
      </c>
      <c r="D275" s="25">
        <v>3309000.0</v>
      </c>
      <c r="E275" s="26">
        <v>3.0</v>
      </c>
      <c r="F275" s="27">
        <v>40.0</v>
      </c>
      <c r="G275" s="28" t="s">
        <v>155</v>
      </c>
      <c r="O275" s="8"/>
    </row>
    <row r="276">
      <c r="A276" s="23" t="s">
        <v>55</v>
      </c>
      <c r="B276" s="23" t="s">
        <v>88</v>
      </c>
      <c r="C276" s="24" t="s">
        <v>369</v>
      </c>
      <c r="D276" s="25">
        <v>3359000.0</v>
      </c>
      <c r="E276" s="26">
        <v>3.0</v>
      </c>
      <c r="F276" s="27">
        <v>40.0</v>
      </c>
      <c r="G276" s="28" t="s">
        <v>155</v>
      </c>
      <c r="O276" s="8"/>
    </row>
    <row r="277">
      <c r="A277" s="23" t="s">
        <v>55</v>
      </c>
      <c r="B277" s="23" t="s">
        <v>88</v>
      </c>
      <c r="C277" s="24" t="s">
        <v>370</v>
      </c>
      <c r="D277" s="25">
        <v>2709000.0</v>
      </c>
      <c r="E277" s="26">
        <v>5.0</v>
      </c>
      <c r="F277" s="27">
        <v>40.0</v>
      </c>
      <c r="G277" s="28" t="s">
        <v>155</v>
      </c>
      <c r="O277" s="8"/>
    </row>
    <row r="278">
      <c r="A278" s="23" t="s">
        <v>55</v>
      </c>
      <c r="B278" s="23" t="s">
        <v>88</v>
      </c>
      <c r="C278" s="24" t="s">
        <v>371</v>
      </c>
      <c r="D278" s="25">
        <v>2899000.0</v>
      </c>
      <c r="E278" s="26">
        <v>7.0</v>
      </c>
      <c r="F278" s="27">
        <v>40.0</v>
      </c>
      <c r="G278" s="28" t="s">
        <v>155</v>
      </c>
      <c r="O278" s="8"/>
    </row>
    <row r="279">
      <c r="A279" s="23" t="s">
        <v>55</v>
      </c>
      <c r="B279" s="23" t="s">
        <v>88</v>
      </c>
      <c r="C279" s="24" t="s">
        <v>372</v>
      </c>
      <c r="D279" s="25">
        <v>2899000.0</v>
      </c>
      <c r="E279" s="26">
        <v>3.0</v>
      </c>
      <c r="F279" s="27">
        <v>40.0</v>
      </c>
      <c r="G279" s="28" t="s">
        <v>155</v>
      </c>
      <c r="O279" s="8"/>
    </row>
    <row r="280">
      <c r="A280" s="23" t="s">
        <v>55</v>
      </c>
      <c r="B280" s="23" t="s">
        <v>88</v>
      </c>
      <c r="C280" s="24" t="s">
        <v>373</v>
      </c>
      <c r="D280" s="25">
        <v>2929000.0</v>
      </c>
      <c r="E280" s="26">
        <v>7.0</v>
      </c>
      <c r="F280" s="27">
        <v>40.0</v>
      </c>
      <c r="G280" s="28" t="s">
        <v>155</v>
      </c>
      <c r="O280" s="8"/>
    </row>
    <row r="281">
      <c r="A281" s="23" t="s">
        <v>55</v>
      </c>
      <c r="B281" s="23" t="s">
        <v>88</v>
      </c>
      <c r="C281" s="24" t="s">
        <v>374</v>
      </c>
      <c r="D281" s="25">
        <v>3289000.0</v>
      </c>
      <c r="E281" s="26">
        <v>2.0</v>
      </c>
      <c r="F281" s="27">
        <v>40.0</v>
      </c>
      <c r="G281" s="28" t="s">
        <v>155</v>
      </c>
      <c r="O281" s="8"/>
    </row>
    <row r="282">
      <c r="A282" s="23" t="s">
        <v>55</v>
      </c>
      <c r="B282" s="23" t="s">
        <v>88</v>
      </c>
      <c r="C282" s="24" t="s">
        <v>375</v>
      </c>
      <c r="D282" s="25">
        <v>3249000.0</v>
      </c>
      <c r="E282" s="26">
        <v>2.0</v>
      </c>
      <c r="F282" s="27">
        <v>40.0</v>
      </c>
      <c r="G282" s="28" t="s">
        <v>155</v>
      </c>
      <c r="O282" s="8"/>
    </row>
    <row r="283">
      <c r="A283" s="23" t="s">
        <v>55</v>
      </c>
      <c r="B283" s="23" t="s">
        <v>88</v>
      </c>
      <c r="C283" s="24" t="s">
        <v>376</v>
      </c>
      <c r="D283" s="25">
        <v>2209000.0</v>
      </c>
      <c r="E283" s="26">
        <v>6.0</v>
      </c>
      <c r="F283" s="27">
        <v>40.0</v>
      </c>
      <c r="G283" s="28" t="s">
        <v>155</v>
      </c>
      <c r="O283" s="8"/>
    </row>
    <row r="284">
      <c r="A284" s="23" t="s">
        <v>55</v>
      </c>
      <c r="B284" s="23" t="s">
        <v>88</v>
      </c>
      <c r="C284" s="24" t="s">
        <v>377</v>
      </c>
      <c r="D284" s="25">
        <v>2959000.0</v>
      </c>
      <c r="E284" s="26">
        <v>9.0</v>
      </c>
      <c r="F284" s="27">
        <v>40.0</v>
      </c>
      <c r="G284" s="28" t="s">
        <v>155</v>
      </c>
      <c r="O284" s="8"/>
    </row>
    <row r="285">
      <c r="A285" s="23" t="s">
        <v>55</v>
      </c>
      <c r="B285" s="23" t="s">
        <v>88</v>
      </c>
      <c r="C285" s="24" t="s">
        <v>378</v>
      </c>
      <c r="D285" s="25">
        <v>2219000.0</v>
      </c>
      <c r="E285" s="26">
        <v>1.0</v>
      </c>
      <c r="F285" s="27">
        <v>40.0</v>
      </c>
      <c r="G285" s="28" t="s">
        <v>155</v>
      </c>
      <c r="O285" s="8"/>
    </row>
    <row r="286">
      <c r="A286" s="23" t="s">
        <v>55</v>
      </c>
      <c r="B286" s="23" t="s">
        <v>88</v>
      </c>
      <c r="C286" s="24" t="s">
        <v>379</v>
      </c>
      <c r="D286" s="25">
        <v>2489000.0</v>
      </c>
      <c r="E286" s="26">
        <v>1.0</v>
      </c>
      <c r="F286" s="27">
        <v>40.0</v>
      </c>
      <c r="G286" s="28" t="s">
        <v>155</v>
      </c>
      <c r="O286" s="8"/>
    </row>
    <row r="287">
      <c r="A287" s="23" t="s">
        <v>55</v>
      </c>
      <c r="B287" s="23" t="s">
        <v>88</v>
      </c>
      <c r="C287" s="24" t="s">
        <v>380</v>
      </c>
      <c r="D287" s="25">
        <v>2279000.0</v>
      </c>
      <c r="E287" s="26">
        <v>4.0</v>
      </c>
      <c r="F287" s="27">
        <v>40.0</v>
      </c>
      <c r="G287" s="28" t="s">
        <v>155</v>
      </c>
      <c r="O287" s="8"/>
    </row>
    <row r="288">
      <c r="A288" s="23" t="s">
        <v>55</v>
      </c>
      <c r="B288" s="23" t="s">
        <v>88</v>
      </c>
      <c r="C288" s="24" t="s">
        <v>381</v>
      </c>
      <c r="D288" s="25">
        <v>2439000.0</v>
      </c>
      <c r="E288" s="26">
        <v>2.0</v>
      </c>
      <c r="F288" s="27">
        <v>40.0</v>
      </c>
      <c r="G288" s="28" t="s">
        <v>155</v>
      </c>
      <c r="O288" s="8"/>
    </row>
    <row r="289">
      <c r="A289" s="23" t="s">
        <v>55</v>
      </c>
      <c r="B289" s="23" t="s">
        <v>88</v>
      </c>
      <c r="C289" s="24" t="s">
        <v>382</v>
      </c>
      <c r="D289" s="25">
        <v>2549000.0</v>
      </c>
      <c r="E289" s="26">
        <v>4.0</v>
      </c>
      <c r="F289" s="27">
        <v>40.0</v>
      </c>
      <c r="G289" s="28" t="s">
        <v>155</v>
      </c>
      <c r="O289" s="8"/>
    </row>
    <row r="290">
      <c r="A290" s="23" t="s">
        <v>55</v>
      </c>
      <c r="B290" s="23" t="s">
        <v>88</v>
      </c>
      <c r="C290" s="24" t="s">
        <v>383</v>
      </c>
      <c r="D290" s="25">
        <v>2669000.0</v>
      </c>
      <c r="E290" s="26">
        <v>4.0</v>
      </c>
      <c r="F290" s="27">
        <v>40.0</v>
      </c>
      <c r="G290" s="28" t="s">
        <v>155</v>
      </c>
      <c r="O290" s="8"/>
    </row>
    <row r="291">
      <c r="A291" s="23" t="s">
        <v>55</v>
      </c>
      <c r="B291" s="23" t="s">
        <v>88</v>
      </c>
      <c r="C291" s="24" t="s">
        <v>384</v>
      </c>
      <c r="D291" s="25">
        <v>2939000.0</v>
      </c>
      <c r="E291" s="26">
        <v>1.0</v>
      </c>
      <c r="F291" s="27">
        <v>40.0</v>
      </c>
      <c r="G291" s="28" t="s">
        <v>155</v>
      </c>
      <c r="O291" s="8"/>
    </row>
    <row r="292">
      <c r="A292" s="23" t="s">
        <v>55</v>
      </c>
      <c r="B292" s="23" t="s">
        <v>88</v>
      </c>
      <c r="C292" s="24" t="s">
        <v>385</v>
      </c>
      <c r="D292" s="25">
        <v>2679000.0</v>
      </c>
      <c r="E292" s="26">
        <v>2.0</v>
      </c>
      <c r="F292" s="27">
        <v>40.0</v>
      </c>
      <c r="G292" s="28" t="s">
        <v>155</v>
      </c>
      <c r="O292" s="8"/>
    </row>
    <row r="293">
      <c r="A293" s="23" t="s">
        <v>55</v>
      </c>
      <c r="B293" s="23" t="s">
        <v>88</v>
      </c>
      <c r="C293" s="24" t="s">
        <v>386</v>
      </c>
      <c r="D293" s="25">
        <v>3089000.0</v>
      </c>
      <c r="E293" s="26">
        <v>2.0</v>
      </c>
      <c r="F293" s="27">
        <v>40.0</v>
      </c>
      <c r="G293" s="28" t="s">
        <v>155</v>
      </c>
      <c r="O293" s="8"/>
    </row>
    <row r="294">
      <c r="A294" s="23" t="s">
        <v>55</v>
      </c>
      <c r="B294" s="23" t="s">
        <v>88</v>
      </c>
      <c r="C294" s="24" t="s">
        <v>387</v>
      </c>
      <c r="D294" s="25">
        <v>2959000.0</v>
      </c>
      <c r="E294" s="26">
        <v>3.0</v>
      </c>
      <c r="F294" s="27">
        <v>40.0</v>
      </c>
      <c r="G294" s="28" t="s">
        <v>155</v>
      </c>
      <c r="O294" s="8"/>
    </row>
    <row r="295">
      <c r="A295" s="23" t="s">
        <v>55</v>
      </c>
      <c r="B295" s="23" t="s">
        <v>88</v>
      </c>
      <c r="C295" s="24" t="s">
        <v>388</v>
      </c>
      <c r="D295" s="25">
        <v>2959000.0</v>
      </c>
      <c r="E295" s="26">
        <v>5.0</v>
      </c>
      <c r="F295" s="27">
        <v>40.0</v>
      </c>
      <c r="G295" s="28" t="s">
        <v>155</v>
      </c>
      <c r="O295" s="8"/>
    </row>
    <row r="296">
      <c r="A296" s="23" t="s">
        <v>55</v>
      </c>
      <c r="B296" s="23" t="s">
        <v>88</v>
      </c>
      <c r="C296" s="24" t="s">
        <v>389</v>
      </c>
      <c r="D296" s="25">
        <v>3139000.0</v>
      </c>
      <c r="E296" s="26">
        <v>6.0</v>
      </c>
      <c r="F296" s="27">
        <v>40.0</v>
      </c>
      <c r="G296" s="28" t="s">
        <v>155</v>
      </c>
      <c r="O296" s="8"/>
    </row>
    <row r="297">
      <c r="A297" s="23" t="s">
        <v>55</v>
      </c>
      <c r="B297" s="23" t="s">
        <v>88</v>
      </c>
      <c r="C297" s="24" t="s">
        <v>390</v>
      </c>
      <c r="D297" s="25">
        <v>2979000.0</v>
      </c>
      <c r="E297" s="26">
        <v>4.0</v>
      </c>
      <c r="F297" s="27">
        <v>40.0</v>
      </c>
      <c r="G297" s="28" t="s">
        <v>155</v>
      </c>
      <c r="O297" s="8"/>
    </row>
    <row r="298">
      <c r="A298" s="23" t="s">
        <v>55</v>
      </c>
      <c r="B298" s="23" t="s">
        <v>88</v>
      </c>
      <c r="C298" s="24" t="s">
        <v>391</v>
      </c>
      <c r="D298" s="25">
        <v>2929000.0</v>
      </c>
      <c r="E298" s="26">
        <v>1.0</v>
      </c>
      <c r="F298" s="27">
        <v>40.0</v>
      </c>
      <c r="G298" s="28" t="s">
        <v>155</v>
      </c>
      <c r="O298" s="8"/>
    </row>
    <row r="299">
      <c r="A299" s="23" t="s">
        <v>55</v>
      </c>
      <c r="B299" s="23" t="s">
        <v>88</v>
      </c>
      <c r="C299" s="24" t="s">
        <v>392</v>
      </c>
      <c r="D299" s="25">
        <v>3309000.0</v>
      </c>
      <c r="E299" s="26">
        <v>2.0</v>
      </c>
      <c r="F299" s="27">
        <v>40.0</v>
      </c>
      <c r="G299" s="28" t="s">
        <v>155</v>
      </c>
      <c r="O299" s="8"/>
    </row>
    <row r="300">
      <c r="A300" s="23" t="s">
        <v>55</v>
      </c>
      <c r="B300" s="23" t="s">
        <v>88</v>
      </c>
      <c r="C300" s="24" t="s">
        <v>393</v>
      </c>
      <c r="D300" s="25">
        <v>3309000.0</v>
      </c>
      <c r="E300" s="26">
        <v>1.0</v>
      </c>
      <c r="F300" s="27">
        <v>40.0</v>
      </c>
      <c r="G300" s="28" t="s">
        <v>155</v>
      </c>
      <c r="O300" s="8"/>
    </row>
    <row r="301">
      <c r="A301" s="23" t="s">
        <v>55</v>
      </c>
      <c r="B301" s="23" t="s">
        <v>88</v>
      </c>
      <c r="C301" s="24" t="s">
        <v>394</v>
      </c>
      <c r="D301" s="25">
        <v>3309000.0</v>
      </c>
      <c r="E301" s="26">
        <v>2.0</v>
      </c>
      <c r="F301" s="27">
        <v>40.0</v>
      </c>
      <c r="G301" s="28" t="s">
        <v>155</v>
      </c>
      <c r="O301" s="8"/>
    </row>
    <row r="302">
      <c r="A302" s="23" t="s">
        <v>55</v>
      </c>
      <c r="B302" s="23" t="s">
        <v>88</v>
      </c>
      <c r="C302" s="24" t="s">
        <v>395</v>
      </c>
      <c r="D302" s="25">
        <v>3309000.0</v>
      </c>
      <c r="E302" s="26">
        <v>4.0</v>
      </c>
      <c r="F302" s="27">
        <v>40.0</v>
      </c>
      <c r="G302" s="28" t="s">
        <v>155</v>
      </c>
      <c r="O302" s="8"/>
    </row>
    <row r="303">
      <c r="A303" s="23" t="s">
        <v>55</v>
      </c>
      <c r="B303" s="23" t="s">
        <v>88</v>
      </c>
      <c r="C303" s="24" t="s">
        <v>396</v>
      </c>
      <c r="D303" s="25">
        <v>3469000.0</v>
      </c>
      <c r="E303" s="26">
        <v>7.0</v>
      </c>
      <c r="F303" s="27">
        <v>40.0</v>
      </c>
      <c r="G303" s="28" t="s">
        <v>155</v>
      </c>
      <c r="O303" s="8"/>
    </row>
    <row r="304">
      <c r="A304" s="23" t="s">
        <v>55</v>
      </c>
      <c r="B304" s="23" t="s">
        <v>88</v>
      </c>
      <c r="C304" s="24" t="s">
        <v>397</v>
      </c>
      <c r="D304" s="25">
        <v>3469000.0</v>
      </c>
      <c r="E304" s="26">
        <v>3.0</v>
      </c>
      <c r="F304" s="27">
        <v>40.0</v>
      </c>
      <c r="G304" s="28" t="s">
        <v>155</v>
      </c>
      <c r="O304" s="8"/>
    </row>
    <row r="305">
      <c r="A305" s="23" t="s">
        <v>55</v>
      </c>
      <c r="B305" s="23" t="s">
        <v>88</v>
      </c>
      <c r="C305" s="24" t="s">
        <v>398</v>
      </c>
      <c r="D305" s="25">
        <v>3469000.0</v>
      </c>
      <c r="E305" s="26">
        <v>7.0</v>
      </c>
      <c r="F305" s="27">
        <v>40.0</v>
      </c>
      <c r="G305" s="28" t="s">
        <v>155</v>
      </c>
      <c r="O305" s="8"/>
    </row>
    <row r="306">
      <c r="A306" s="23" t="s">
        <v>55</v>
      </c>
      <c r="B306" s="23" t="s">
        <v>88</v>
      </c>
      <c r="C306" s="24" t="s">
        <v>399</v>
      </c>
      <c r="D306" s="25">
        <v>4149000.0</v>
      </c>
      <c r="E306" s="26">
        <v>6.0</v>
      </c>
      <c r="F306" s="27">
        <v>40.0</v>
      </c>
      <c r="G306" s="28" t="s">
        <v>155</v>
      </c>
      <c r="O306" s="8"/>
    </row>
    <row r="307">
      <c r="A307" s="23" t="s">
        <v>55</v>
      </c>
      <c r="B307" s="23" t="s">
        <v>88</v>
      </c>
      <c r="C307" s="24" t="s">
        <v>400</v>
      </c>
      <c r="D307" s="25">
        <v>2649000.0</v>
      </c>
      <c r="E307" s="26">
        <v>4.0</v>
      </c>
      <c r="F307" s="27">
        <v>40.0</v>
      </c>
      <c r="G307" s="28" t="s">
        <v>155</v>
      </c>
      <c r="O307" s="8"/>
    </row>
    <row r="308">
      <c r="A308" s="23" t="s">
        <v>55</v>
      </c>
      <c r="B308" s="23" t="s">
        <v>88</v>
      </c>
      <c r="C308" s="24" t="s">
        <v>401</v>
      </c>
      <c r="D308" s="25">
        <v>2789000.0</v>
      </c>
      <c r="E308" s="26">
        <v>8.0</v>
      </c>
      <c r="F308" s="27">
        <v>40.0</v>
      </c>
      <c r="G308" s="28" t="s">
        <v>155</v>
      </c>
      <c r="O308" s="8"/>
    </row>
    <row r="309">
      <c r="A309" s="23" t="s">
        <v>55</v>
      </c>
      <c r="B309" s="23" t="s">
        <v>88</v>
      </c>
      <c r="C309" s="24" t="s">
        <v>402</v>
      </c>
      <c r="D309" s="25">
        <v>2789000.0</v>
      </c>
      <c r="E309" s="26">
        <v>1.0</v>
      </c>
      <c r="F309" s="27">
        <v>40.0</v>
      </c>
      <c r="G309" s="28" t="s">
        <v>155</v>
      </c>
      <c r="O309" s="8"/>
    </row>
    <row r="310">
      <c r="A310" s="23" t="s">
        <v>55</v>
      </c>
      <c r="B310" s="23" t="s">
        <v>88</v>
      </c>
      <c r="C310" s="24" t="s">
        <v>403</v>
      </c>
      <c r="D310" s="25">
        <v>4169000.0</v>
      </c>
      <c r="E310" s="26">
        <v>3.0</v>
      </c>
      <c r="F310" s="27">
        <v>40.0</v>
      </c>
      <c r="G310" s="28" t="s">
        <v>155</v>
      </c>
      <c r="O310" s="8"/>
    </row>
    <row r="311">
      <c r="A311" s="23" t="s">
        <v>55</v>
      </c>
      <c r="B311" s="23" t="s">
        <v>88</v>
      </c>
      <c r="C311" s="24" t="s">
        <v>404</v>
      </c>
      <c r="D311" s="25">
        <v>3409000.0</v>
      </c>
      <c r="E311" s="26">
        <v>1.0</v>
      </c>
      <c r="F311" s="27">
        <v>40.0</v>
      </c>
      <c r="G311" s="28" t="s">
        <v>155</v>
      </c>
      <c r="O311" s="8"/>
    </row>
    <row r="312">
      <c r="A312" s="23" t="s">
        <v>55</v>
      </c>
      <c r="B312" s="23" t="s">
        <v>88</v>
      </c>
      <c r="C312" s="24" t="s">
        <v>405</v>
      </c>
      <c r="D312" s="25">
        <v>3759000.0</v>
      </c>
      <c r="E312" s="26">
        <v>13.0</v>
      </c>
      <c r="F312" s="27">
        <v>40.0</v>
      </c>
      <c r="G312" s="28" t="s">
        <v>155</v>
      </c>
      <c r="O312" s="8"/>
    </row>
    <row r="313">
      <c r="A313" s="23" t="s">
        <v>55</v>
      </c>
      <c r="B313" s="23" t="s">
        <v>88</v>
      </c>
      <c r="C313" s="24" t="s">
        <v>406</v>
      </c>
      <c r="D313" s="25">
        <v>3789000.0</v>
      </c>
      <c r="E313" s="26">
        <v>3.0</v>
      </c>
      <c r="F313" s="27">
        <v>40.0</v>
      </c>
      <c r="G313" s="28" t="s">
        <v>155</v>
      </c>
      <c r="O313" s="8"/>
    </row>
    <row r="314">
      <c r="A314" s="23" t="s">
        <v>55</v>
      </c>
      <c r="B314" s="23" t="s">
        <v>88</v>
      </c>
      <c r="C314" s="24" t="s">
        <v>407</v>
      </c>
      <c r="D314" s="25">
        <v>2209000.0</v>
      </c>
      <c r="E314" s="26">
        <v>3.0</v>
      </c>
      <c r="F314" s="27">
        <v>40.0</v>
      </c>
      <c r="G314" s="28" t="s">
        <v>155</v>
      </c>
      <c r="O314" s="8"/>
    </row>
    <row r="315">
      <c r="A315" s="23" t="s">
        <v>55</v>
      </c>
      <c r="B315" s="23" t="s">
        <v>88</v>
      </c>
      <c r="C315" s="24" t="s">
        <v>408</v>
      </c>
      <c r="D315" s="25">
        <v>5419000.0</v>
      </c>
      <c r="E315" s="26">
        <v>1.0</v>
      </c>
      <c r="F315" s="27">
        <v>40.0</v>
      </c>
      <c r="G315" s="28" t="s">
        <v>155</v>
      </c>
      <c r="O315" s="8"/>
    </row>
    <row r="316">
      <c r="A316" s="23" t="s">
        <v>55</v>
      </c>
      <c r="B316" s="23" t="s">
        <v>88</v>
      </c>
      <c r="C316" s="24" t="s">
        <v>409</v>
      </c>
      <c r="D316" s="25">
        <v>4879000.0</v>
      </c>
      <c r="E316" s="26">
        <v>3.0</v>
      </c>
      <c r="F316" s="27">
        <v>40.0</v>
      </c>
      <c r="G316" s="28" t="s">
        <v>155</v>
      </c>
      <c r="O316" s="8"/>
    </row>
    <row r="317">
      <c r="A317" s="23" t="s">
        <v>55</v>
      </c>
      <c r="B317" s="23" t="s">
        <v>88</v>
      </c>
      <c r="C317" s="24" t="s">
        <v>410</v>
      </c>
      <c r="D317" s="25">
        <v>5119000.0</v>
      </c>
      <c r="E317" s="26">
        <v>3.0</v>
      </c>
      <c r="F317" s="27">
        <v>40.0</v>
      </c>
      <c r="G317" s="28" t="s">
        <v>155</v>
      </c>
      <c r="O317" s="8"/>
    </row>
    <row r="318">
      <c r="A318" s="23" t="s">
        <v>55</v>
      </c>
      <c r="B318" s="23" t="s">
        <v>88</v>
      </c>
      <c r="C318" s="24" t="s">
        <v>411</v>
      </c>
      <c r="D318" s="25">
        <v>5119000.0</v>
      </c>
      <c r="E318" s="26">
        <v>1.0</v>
      </c>
      <c r="F318" s="27">
        <v>40.0</v>
      </c>
      <c r="G318" s="28" t="s">
        <v>155</v>
      </c>
      <c r="O318" s="8"/>
    </row>
    <row r="319">
      <c r="A319" s="23" t="s">
        <v>55</v>
      </c>
      <c r="B319" s="23" t="s">
        <v>88</v>
      </c>
      <c r="C319" s="24" t="s">
        <v>412</v>
      </c>
      <c r="D319" s="25">
        <v>5149000.0</v>
      </c>
      <c r="E319" s="26">
        <v>2.0</v>
      </c>
      <c r="F319" s="27">
        <v>40.0</v>
      </c>
      <c r="G319" s="28" t="s">
        <v>155</v>
      </c>
      <c r="O319" s="8"/>
    </row>
    <row r="320">
      <c r="A320" s="23" t="s">
        <v>55</v>
      </c>
      <c r="B320" s="23" t="s">
        <v>88</v>
      </c>
      <c r="C320" s="24" t="s">
        <v>413</v>
      </c>
      <c r="D320" s="25">
        <v>7039000.0</v>
      </c>
      <c r="E320" s="26">
        <v>4.0</v>
      </c>
      <c r="F320" s="27">
        <v>40.0</v>
      </c>
      <c r="G320" s="28" t="s">
        <v>155</v>
      </c>
      <c r="O320" s="8"/>
    </row>
    <row r="321">
      <c r="A321" s="23" t="s">
        <v>55</v>
      </c>
      <c r="B321" s="23" t="s">
        <v>88</v>
      </c>
      <c r="C321" s="24" t="s">
        <v>414</v>
      </c>
      <c r="D321" s="25">
        <v>7589000.0</v>
      </c>
      <c r="E321" s="26">
        <v>8.0</v>
      </c>
      <c r="F321" s="27">
        <v>40.0</v>
      </c>
      <c r="G321" s="28" t="s">
        <v>155</v>
      </c>
      <c r="O321" s="8"/>
    </row>
    <row r="322">
      <c r="A322" s="23" t="s">
        <v>55</v>
      </c>
      <c r="B322" s="23" t="s">
        <v>88</v>
      </c>
      <c r="C322" s="24" t="s">
        <v>415</v>
      </c>
      <c r="D322" s="25">
        <v>6339000.0</v>
      </c>
      <c r="E322" s="26">
        <v>8.0</v>
      </c>
      <c r="F322" s="27">
        <v>40.0</v>
      </c>
      <c r="G322" s="28" t="s">
        <v>155</v>
      </c>
      <c r="O322" s="8"/>
    </row>
    <row r="323">
      <c r="A323" s="23" t="s">
        <v>55</v>
      </c>
      <c r="B323" s="23" t="s">
        <v>88</v>
      </c>
      <c r="C323" s="24" t="s">
        <v>416</v>
      </c>
      <c r="D323" s="25">
        <v>5119000.0</v>
      </c>
      <c r="E323" s="26">
        <v>3.0</v>
      </c>
      <c r="F323" s="27">
        <v>40.0</v>
      </c>
      <c r="G323" s="28" t="s">
        <v>155</v>
      </c>
      <c r="O323" s="8"/>
    </row>
    <row r="324">
      <c r="A324" s="23" t="s">
        <v>55</v>
      </c>
      <c r="B324" s="23" t="s">
        <v>88</v>
      </c>
      <c r="C324" s="24" t="s">
        <v>417</v>
      </c>
      <c r="D324" s="25">
        <v>4329000.0</v>
      </c>
      <c r="E324" s="26">
        <v>2.0</v>
      </c>
      <c r="F324" s="27">
        <v>40.0</v>
      </c>
      <c r="G324" s="28" t="s">
        <v>155</v>
      </c>
      <c r="O324" s="8"/>
    </row>
    <row r="325">
      <c r="A325" s="23" t="s">
        <v>55</v>
      </c>
      <c r="B325" s="23" t="s">
        <v>88</v>
      </c>
      <c r="C325" s="24" t="s">
        <v>418</v>
      </c>
      <c r="D325" s="25">
        <v>4769000.0</v>
      </c>
      <c r="E325" s="26">
        <v>2.0</v>
      </c>
      <c r="F325" s="27">
        <v>40.0</v>
      </c>
      <c r="G325" s="28" t="s">
        <v>155</v>
      </c>
      <c r="O325" s="8"/>
    </row>
    <row r="326">
      <c r="A326" s="23" t="s">
        <v>55</v>
      </c>
      <c r="B326" s="23" t="s">
        <v>88</v>
      </c>
      <c r="C326" s="24" t="s">
        <v>419</v>
      </c>
      <c r="D326" s="25">
        <v>4389000.0</v>
      </c>
      <c r="E326" s="26">
        <v>10.0</v>
      </c>
      <c r="F326" s="27">
        <v>40.0</v>
      </c>
      <c r="G326" s="28" t="s">
        <v>155</v>
      </c>
      <c r="O326" s="8"/>
    </row>
    <row r="327">
      <c r="A327" s="23" t="s">
        <v>55</v>
      </c>
      <c r="B327" s="23" t="s">
        <v>88</v>
      </c>
      <c r="C327" s="24" t="s">
        <v>420</v>
      </c>
      <c r="D327" s="25">
        <v>3929000.0</v>
      </c>
      <c r="E327" s="26">
        <v>1.0</v>
      </c>
      <c r="F327" s="27">
        <v>40.0</v>
      </c>
      <c r="G327" s="28" t="s">
        <v>155</v>
      </c>
      <c r="O327" s="8"/>
    </row>
    <row r="328">
      <c r="A328" s="23" t="s">
        <v>55</v>
      </c>
      <c r="B328" s="23" t="s">
        <v>88</v>
      </c>
      <c r="C328" s="24" t="s">
        <v>421</v>
      </c>
      <c r="D328" s="25">
        <v>4439000.0</v>
      </c>
      <c r="E328" s="26">
        <v>4.0</v>
      </c>
      <c r="F328" s="27">
        <v>40.0</v>
      </c>
      <c r="G328" s="28" t="s">
        <v>155</v>
      </c>
      <c r="O328" s="8"/>
    </row>
    <row r="329">
      <c r="A329" s="23" t="s">
        <v>55</v>
      </c>
      <c r="B329" s="23" t="s">
        <v>88</v>
      </c>
      <c r="C329" s="24" t="s">
        <v>422</v>
      </c>
      <c r="D329" s="25">
        <v>4229000.0</v>
      </c>
      <c r="E329" s="26">
        <v>9.0</v>
      </c>
      <c r="F329" s="27">
        <v>40.0</v>
      </c>
      <c r="G329" s="28" t="s">
        <v>155</v>
      </c>
      <c r="O329" s="8"/>
    </row>
    <row r="330">
      <c r="A330" s="23" t="s">
        <v>55</v>
      </c>
      <c r="B330" s="23" t="s">
        <v>88</v>
      </c>
      <c r="C330" s="24" t="s">
        <v>423</v>
      </c>
      <c r="D330" s="25">
        <v>5419000.0</v>
      </c>
      <c r="E330" s="26">
        <v>3.0</v>
      </c>
      <c r="F330" s="27">
        <v>40.0</v>
      </c>
      <c r="G330" s="28" t="s">
        <v>155</v>
      </c>
      <c r="O330" s="8"/>
    </row>
    <row r="331">
      <c r="A331" s="23" t="s">
        <v>55</v>
      </c>
      <c r="B331" s="23" t="s">
        <v>88</v>
      </c>
      <c r="C331" s="24" t="s">
        <v>424</v>
      </c>
      <c r="D331" s="25">
        <v>6499000.0</v>
      </c>
      <c r="E331" s="26">
        <v>3.0</v>
      </c>
      <c r="F331" s="27">
        <v>40.0</v>
      </c>
      <c r="G331" s="28" t="s">
        <v>155</v>
      </c>
      <c r="O331" s="8"/>
    </row>
    <row r="332">
      <c r="A332" s="23" t="s">
        <v>55</v>
      </c>
      <c r="B332" s="23" t="s">
        <v>88</v>
      </c>
      <c r="C332" s="24" t="s">
        <v>425</v>
      </c>
      <c r="D332" s="25">
        <v>4669000.0</v>
      </c>
      <c r="E332" s="26">
        <v>12.0</v>
      </c>
      <c r="F332" s="27">
        <v>40.0</v>
      </c>
      <c r="G332" s="28" t="s">
        <v>155</v>
      </c>
      <c r="O332" s="8"/>
    </row>
    <row r="333">
      <c r="A333" s="23" t="s">
        <v>55</v>
      </c>
      <c r="B333" s="23" t="s">
        <v>88</v>
      </c>
      <c r="C333" s="24" t="s">
        <v>426</v>
      </c>
      <c r="D333" s="25">
        <v>5359000.0</v>
      </c>
      <c r="E333" s="26">
        <v>2.0</v>
      </c>
      <c r="F333" s="27">
        <v>50.0</v>
      </c>
      <c r="G333" s="28" t="s">
        <v>155</v>
      </c>
      <c r="O333" s="8"/>
    </row>
    <row r="334">
      <c r="A334" s="23" t="s">
        <v>55</v>
      </c>
      <c r="B334" s="23" t="s">
        <v>88</v>
      </c>
      <c r="C334" s="24" t="s">
        <v>427</v>
      </c>
      <c r="D334" s="25">
        <v>4609000.0</v>
      </c>
      <c r="E334" s="26">
        <v>9.0</v>
      </c>
      <c r="F334" s="27">
        <v>50.0</v>
      </c>
      <c r="G334" s="28" t="s">
        <v>155</v>
      </c>
      <c r="O334" s="8"/>
    </row>
    <row r="335">
      <c r="A335" s="23" t="s">
        <v>55</v>
      </c>
      <c r="B335" s="23" t="s">
        <v>88</v>
      </c>
      <c r="C335" s="24" t="s">
        <v>428</v>
      </c>
      <c r="D335" s="25">
        <v>4549000.0</v>
      </c>
      <c r="E335" s="26">
        <v>6.0</v>
      </c>
      <c r="F335" s="27">
        <v>40.0</v>
      </c>
      <c r="G335" s="28" t="s">
        <v>155</v>
      </c>
      <c r="O335" s="8"/>
    </row>
    <row r="336">
      <c r="A336" s="23" t="s">
        <v>55</v>
      </c>
      <c r="B336" s="23" t="s">
        <v>88</v>
      </c>
      <c r="C336" s="24" t="s">
        <v>429</v>
      </c>
      <c r="D336" s="25">
        <v>4609000.0</v>
      </c>
      <c r="E336" s="26">
        <v>10.0</v>
      </c>
      <c r="F336" s="27">
        <v>40.0</v>
      </c>
      <c r="G336" s="28" t="s">
        <v>155</v>
      </c>
      <c r="O336" s="8"/>
    </row>
    <row r="337">
      <c r="A337" s="23" t="s">
        <v>55</v>
      </c>
      <c r="B337" s="23" t="s">
        <v>88</v>
      </c>
      <c r="C337" s="24" t="s">
        <v>430</v>
      </c>
      <c r="D337" s="25">
        <v>1.1379E7</v>
      </c>
      <c r="E337" s="26">
        <v>1.0</v>
      </c>
      <c r="F337" s="27">
        <v>40.0</v>
      </c>
      <c r="G337" s="28" t="s">
        <v>155</v>
      </c>
      <c r="O337" s="8"/>
    </row>
    <row r="338">
      <c r="A338" s="23" t="s">
        <v>55</v>
      </c>
      <c r="B338" s="23" t="s">
        <v>88</v>
      </c>
      <c r="C338" s="24" t="s">
        <v>431</v>
      </c>
      <c r="D338" s="25">
        <v>3929000.0</v>
      </c>
      <c r="E338" s="26">
        <v>7.0</v>
      </c>
      <c r="F338" s="27">
        <v>40.0</v>
      </c>
      <c r="G338" s="28" t="s">
        <v>155</v>
      </c>
      <c r="O338" s="8"/>
    </row>
    <row r="339">
      <c r="A339" s="23" t="s">
        <v>55</v>
      </c>
      <c r="B339" s="23" t="s">
        <v>88</v>
      </c>
      <c r="C339" s="24" t="s">
        <v>432</v>
      </c>
      <c r="D339" s="25">
        <v>4269000.0</v>
      </c>
      <c r="E339" s="26">
        <v>4.0</v>
      </c>
      <c r="F339" s="27">
        <v>40.0</v>
      </c>
      <c r="G339" s="28" t="s">
        <v>155</v>
      </c>
      <c r="O339" s="8"/>
    </row>
    <row r="340">
      <c r="A340" s="23" t="s">
        <v>55</v>
      </c>
      <c r="B340" s="23" t="s">
        <v>88</v>
      </c>
      <c r="C340" s="24" t="s">
        <v>433</v>
      </c>
      <c r="D340" s="25">
        <v>4269000.0</v>
      </c>
      <c r="E340" s="26">
        <v>2.0</v>
      </c>
      <c r="F340" s="27">
        <v>40.0</v>
      </c>
      <c r="G340" s="28" t="s">
        <v>155</v>
      </c>
      <c r="O340" s="8"/>
    </row>
    <row r="341">
      <c r="A341" s="23" t="s">
        <v>55</v>
      </c>
      <c r="B341" s="23" t="s">
        <v>88</v>
      </c>
      <c r="C341" s="24" t="s">
        <v>434</v>
      </c>
      <c r="D341" s="25">
        <v>4269000.0</v>
      </c>
      <c r="E341" s="26">
        <v>2.0</v>
      </c>
      <c r="F341" s="27">
        <v>40.0</v>
      </c>
      <c r="G341" s="28" t="s">
        <v>155</v>
      </c>
      <c r="O341" s="8"/>
    </row>
    <row r="342">
      <c r="A342" s="23" t="s">
        <v>55</v>
      </c>
      <c r="B342" s="23" t="s">
        <v>88</v>
      </c>
      <c r="C342" s="24" t="s">
        <v>435</v>
      </c>
      <c r="D342" s="25">
        <v>5529000.0</v>
      </c>
      <c r="E342" s="26">
        <v>1.0</v>
      </c>
      <c r="F342" s="27">
        <v>40.0</v>
      </c>
      <c r="G342" s="28" t="s">
        <v>155</v>
      </c>
      <c r="O342" s="8"/>
    </row>
    <row r="343">
      <c r="A343" s="23" t="s">
        <v>55</v>
      </c>
      <c r="B343" s="23" t="s">
        <v>88</v>
      </c>
      <c r="C343" s="24" t="s">
        <v>436</v>
      </c>
      <c r="D343" s="25">
        <v>5089000.0</v>
      </c>
      <c r="E343" s="26">
        <v>3.0</v>
      </c>
      <c r="F343" s="27">
        <v>40.0</v>
      </c>
      <c r="G343" s="28" t="s">
        <v>155</v>
      </c>
      <c r="O343" s="8"/>
    </row>
    <row r="344">
      <c r="A344" s="23" t="s">
        <v>55</v>
      </c>
      <c r="B344" s="23" t="s">
        <v>88</v>
      </c>
      <c r="C344" s="24" t="s">
        <v>437</v>
      </c>
      <c r="D344" s="25">
        <v>4549000.0</v>
      </c>
      <c r="E344" s="26">
        <v>2.0</v>
      </c>
      <c r="F344" s="27">
        <v>40.0</v>
      </c>
      <c r="G344" s="28" t="s">
        <v>155</v>
      </c>
      <c r="O344" s="8"/>
    </row>
    <row r="345">
      <c r="A345" s="23" t="s">
        <v>55</v>
      </c>
      <c r="B345" s="23" t="s">
        <v>88</v>
      </c>
      <c r="C345" s="24" t="s">
        <v>438</v>
      </c>
      <c r="D345" s="25">
        <v>4719000.0</v>
      </c>
      <c r="E345" s="26">
        <v>3.0</v>
      </c>
      <c r="F345" s="27">
        <v>40.0</v>
      </c>
      <c r="G345" s="28" t="s">
        <v>155</v>
      </c>
      <c r="O345" s="8"/>
    </row>
    <row r="346">
      <c r="A346" s="23" t="s">
        <v>55</v>
      </c>
      <c r="B346" s="23" t="s">
        <v>88</v>
      </c>
      <c r="C346" s="24" t="s">
        <v>439</v>
      </c>
      <c r="D346" s="25">
        <v>4709000.0</v>
      </c>
      <c r="E346" s="26">
        <v>5.0</v>
      </c>
      <c r="F346" s="27">
        <v>40.0</v>
      </c>
      <c r="G346" s="28" t="s">
        <v>155</v>
      </c>
      <c r="O346" s="8"/>
    </row>
    <row r="347">
      <c r="A347" s="23" t="s">
        <v>55</v>
      </c>
      <c r="B347" s="23" t="s">
        <v>88</v>
      </c>
      <c r="C347" s="24" t="s">
        <v>440</v>
      </c>
      <c r="D347" s="25">
        <v>4269000.0</v>
      </c>
      <c r="E347" s="26">
        <v>1.0</v>
      </c>
      <c r="F347" s="27">
        <v>40.0</v>
      </c>
      <c r="G347" s="28" t="s">
        <v>155</v>
      </c>
      <c r="O347" s="8"/>
    </row>
    <row r="348">
      <c r="A348" s="23" t="s">
        <v>55</v>
      </c>
      <c r="B348" s="23" t="s">
        <v>88</v>
      </c>
      <c r="C348" s="24" t="s">
        <v>441</v>
      </c>
      <c r="D348" s="25">
        <v>4099000.0</v>
      </c>
      <c r="E348" s="26">
        <v>1.0</v>
      </c>
      <c r="F348" s="27">
        <v>40.0</v>
      </c>
      <c r="G348" s="28" t="s">
        <v>155</v>
      </c>
      <c r="O348" s="8"/>
    </row>
    <row r="349">
      <c r="A349" s="23" t="s">
        <v>55</v>
      </c>
      <c r="B349" s="23" t="s">
        <v>88</v>
      </c>
      <c r="C349" s="24" t="s">
        <v>442</v>
      </c>
      <c r="D349" s="25">
        <v>2519000.0</v>
      </c>
      <c r="E349" s="26">
        <v>2.0</v>
      </c>
      <c r="F349" s="27">
        <v>40.0</v>
      </c>
      <c r="G349" s="28" t="s">
        <v>155</v>
      </c>
      <c r="O349" s="8"/>
    </row>
    <row r="350">
      <c r="A350" s="23" t="s">
        <v>55</v>
      </c>
      <c r="B350" s="23" t="s">
        <v>88</v>
      </c>
      <c r="C350" s="24" t="s">
        <v>443</v>
      </c>
      <c r="D350" s="25">
        <v>2279000.0</v>
      </c>
      <c r="E350" s="26">
        <v>1.0</v>
      </c>
      <c r="F350" s="27">
        <v>40.0</v>
      </c>
      <c r="G350" s="28" t="s">
        <v>155</v>
      </c>
      <c r="O350" s="8"/>
    </row>
    <row r="351">
      <c r="A351" s="23" t="s">
        <v>55</v>
      </c>
      <c r="B351" s="23" t="s">
        <v>88</v>
      </c>
      <c r="C351" s="24" t="s">
        <v>444</v>
      </c>
      <c r="D351" s="25">
        <v>3299000.0</v>
      </c>
      <c r="E351" s="26">
        <v>4.0</v>
      </c>
      <c r="F351" s="27">
        <v>40.0</v>
      </c>
      <c r="G351" s="28" t="s">
        <v>155</v>
      </c>
      <c r="O351" s="8"/>
    </row>
    <row r="352">
      <c r="A352" s="23" t="s">
        <v>55</v>
      </c>
      <c r="B352" s="23" t="s">
        <v>88</v>
      </c>
      <c r="C352" s="24" t="s">
        <v>445</v>
      </c>
      <c r="D352" s="25">
        <v>3299000.0</v>
      </c>
      <c r="E352" s="26">
        <v>4.0</v>
      </c>
      <c r="F352" s="27">
        <v>40.0</v>
      </c>
      <c r="G352" s="28" t="s">
        <v>155</v>
      </c>
      <c r="O352" s="8"/>
    </row>
    <row r="353">
      <c r="A353" s="23" t="s">
        <v>55</v>
      </c>
      <c r="B353" s="23" t="s">
        <v>88</v>
      </c>
      <c r="C353" s="24" t="s">
        <v>446</v>
      </c>
      <c r="D353" s="25">
        <v>3299000.0</v>
      </c>
      <c r="E353" s="26">
        <v>5.0</v>
      </c>
      <c r="F353" s="27">
        <v>40.0</v>
      </c>
      <c r="G353" s="28" t="s">
        <v>155</v>
      </c>
      <c r="O353" s="8"/>
    </row>
    <row r="354">
      <c r="A354" s="23" t="s">
        <v>55</v>
      </c>
      <c r="B354" s="23" t="s">
        <v>88</v>
      </c>
      <c r="C354" s="24" t="s">
        <v>447</v>
      </c>
      <c r="D354" s="25">
        <v>3139000.0</v>
      </c>
      <c r="E354" s="26">
        <v>3.0</v>
      </c>
      <c r="F354" s="27">
        <v>40.0</v>
      </c>
      <c r="G354" s="28" t="s">
        <v>155</v>
      </c>
      <c r="O354" s="8"/>
    </row>
    <row r="355">
      <c r="A355" s="23" t="s">
        <v>55</v>
      </c>
      <c r="B355" s="23" t="s">
        <v>88</v>
      </c>
      <c r="C355" s="24" t="s">
        <v>448</v>
      </c>
      <c r="D355" s="25">
        <v>3359000.0</v>
      </c>
      <c r="E355" s="26">
        <v>8.0</v>
      </c>
      <c r="F355" s="27">
        <v>40.0</v>
      </c>
      <c r="G355" s="28" t="s">
        <v>155</v>
      </c>
      <c r="O355" s="8"/>
    </row>
    <row r="356">
      <c r="A356" s="23" t="s">
        <v>55</v>
      </c>
      <c r="B356" s="23" t="s">
        <v>88</v>
      </c>
      <c r="C356" s="24" t="s">
        <v>449</v>
      </c>
      <c r="D356" s="25">
        <v>3299000.0</v>
      </c>
      <c r="E356" s="26">
        <v>9.0</v>
      </c>
      <c r="F356" s="27">
        <v>40.0</v>
      </c>
      <c r="G356" s="28" t="s">
        <v>155</v>
      </c>
      <c r="O356" s="8"/>
    </row>
    <row r="357">
      <c r="A357" s="23" t="s">
        <v>55</v>
      </c>
      <c r="B357" s="23" t="s">
        <v>88</v>
      </c>
      <c r="C357" s="24" t="s">
        <v>450</v>
      </c>
      <c r="D357" s="25">
        <v>3359000.0</v>
      </c>
      <c r="E357" s="26">
        <v>7.0</v>
      </c>
      <c r="F357" s="27">
        <v>40.0</v>
      </c>
      <c r="G357" s="28" t="s">
        <v>155</v>
      </c>
      <c r="O357" s="8"/>
    </row>
    <row r="358">
      <c r="A358" s="23" t="s">
        <v>55</v>
      </c>
      <c r="B358" s="23" t="s">
        <v>88</v>
      </c>
      <c r="C358" s="24" t="s">
        <v>451</v>
      </c>
      <c r="D358" s="25">
        <v>3359000.0</v>
      </c>
      <c r="E358" s="26">
        <v>4.0</v>
      </c>
      <c r="F358" s="27">
        <v>40.0</v>
      </c>
      <c r="G358" s="28" t="s">
        <v>155</v>
      </c>
      <c r="O358" s="8"/>
    </row>
    <row r="359">
      <c r="A359" s="23" t="s">
        <v>55</v>
      </c>
      <c r="B359" s="23" t="s">
        <v>88</v>
      </c>
      <c r="C359" s="24" t="s">
        <v>452</v>
      </c>
      <c r="D359" s="25">
        <v>2869000.0</v>
      </c>
      <c r="E359" s="26">
        <v>1.0</v>
      </c>
      <c r="F359" s="27">
        <v>40.0</v>
      </c>
      <c r="G359" s="28" t="s">
        <v>155</v>
      </c>
      <c r="O359" s="8"/>
    </row>
    <row r="360">
      <c r="A360" s="23" t="s">
        <v>55</v>
      </c>
      <c r="B360" s="23" t="s">
        <v>88</v>
      </c>
      <c r="C360" s="24" t="s">
        <v>453</v>
      </c>
      <c r="D360" s="25">
        <v>3739000.0</v>
      </c>
      <c r="E360" s="26">
        <v>7.0</v>
      </c>
      <c r="F360" s="27">
        <v>40.0</v>
      </c>
      <c r="G360" s="28" t="s">
        <v>155</v>
      </c>
      <c r="O360" s="8"/>
    </row>
    <row r="361">
      <c r="A361" s="23" t="s">
        <v>55</v>
      </c>
      <c r="B361" s="23" t="s">
        <v>88</v>
      </c>
      <c r="C361" s="24" t="s">
        <v>454</v>
      </c>
      <c r="D361" s="25">
        <v>3129000.0</v>
      </c>
      <c r="E361" s="26">
        <v>1.0</v>
      </c>
      <c r="F361" s="27">
        <v>40.0</v>
      </c>
      <c r="G361" s="28" t="s">
        <v>155</v>
      </c>
      <c r="O361" s="8"/>
    </row>
    <row r="362">
      <c r="A362" s="23" t="s">
        <v>55</v>
      </c>
      <c r="B362" s="23" t="s">
        <v>88</v>
      </c>
      <c r="C362" s="24" t="s">
        <v>455</v>
      </c>
      <c r="D362" s="25">
        <v>3299000.0</v>
      </c>
      <c r="E362" s="26">
        <v>1.0</v>
      </c>
      <c r="F362" s="27">
        <v>40.0</v>
      </c>
      <c r="G362" s="28" t="s">
        <v>155</v>
      </c>
      <c r="O362" s="8"/>
    </row>
    <row r="363">
      <c r="A363" s="23" t="s">
        <v>55</v>
      </c>
      <c r="B363" s="23" t="s">
        <v>88</v>
      </c>
      <c r="C363" s="24" t="s">
        <v>456</v>
      </c>
      <c r="D363" s="25">
        <v>3299000.0</v>
      </c>
      <c r="E363" s="26">
        <v>2.0</v>
      </c>
      <c r="F363" s="27">
        <v>40.0</v>
      </c>
      <c r="G363" s="28" t="s">
        <v>155</v>
      </c>
      <c r="O363" s="8"/>
    </row>
    <row r="364">
      <c r="A364" s="23" t="s">
        <v>55</v>
      </c>
      <c r="B364" s="23" t="s">
        <v>88</v>
      </c>
      <c r="C364" s="24" t="s">
        <v>457</v>
      </c>
      <c r="D364" s="25">
        <v>3299000.0</v>
      </c>
      <c r="E364" s="26">
        <v>4.0</v>
      </c>
      <c r="F364" s="27">
        <v>40.0</v>
      </c>
      <c r="G364" s="28" t="s">
        <v>155</v>
      </c>
      <c r="O364" s="8"/>
    </row>
    <row r="365">
      <c r="A365" s="23" t="s">
        <v>55</v>
      </c>
      <c r="B365" s="23" t="s">
        <v>88</v>
      </c>
      <c r="C365" s="24" t="s">
        <v>458</v>
      </c>
      <c r="D365" s="25">
        <v>3359000.0</v>
      </c>
      <c r="E365" s="26">
        <v>1.0</v>
      </c>
      <c r="F365" s="27">
        <v>40.0</v>
      </c>
      <c r="G365" s="28" t="s">
        <v>155</v>
      </c>
      <c r="O365" s="8"/>
    </row>
    <row r="366">
      <c r="A366" s="23" t="s">
        <v>55</v>
      </c>
      <c r="B366" s="23" t="s">
        <v>88</v>
      </c>
      <c r="C366" s="24" t="s">
        <v>459</v>
      </c>
      <c r="D366" s="25">
        <v>3199000.0</v>
      </c>
      <c r="E366" s="26">
        <v>1.0</v>
      </c>
      <c r="F366" s="27">
        <v>40.0</v>
      </c>
      <c r="G366" s="28" t="s">
        <v>155</v>
      </c>
      <c r="O366" s="8"/>
    </row>
    <row r="367">
      <c r="A367" s="23" t="s">
        <v>55</v>
      </c>
      <c r="B367" s="23" t="s">
        <v>88</v>
      </c>
      <c r="C367" s="24" t="s">
        <v>460</v>
      </c>
      <c r="D367" s="25">
        <v>3299000.0</v>
      </c>
      <c r="E367" s="26">
        <v>11.0</v>
      </c>
      <c r="F367" s="27">
        <v>40.0</v>
      </c>
      <c r="G367" s="28" t="s">
        <v>155</v>
      </c>
      <c r="O367" s="8"/>
    </row>
    <row r="368">
      <c r="A368" s="23" t="s">
        <v>55</v>
      </c>
      <c r="B368" s="23" t="s">
        <v>88</v>
      </c>
      <c r="C368" s="24" t="s">
        <v>461</v>
      </c>
      <c r="D368" s="25">
        <v>3299000.0</v>
      </c>
      <c r="E368" s="26">
        <v>6.0</v>
      </c>
      <c r="F368" s="27">
        <v>40.0</v>
      </c>
      <c r="G368" s="28" t="s">
        <v>155</v>
      </c>
      <c r="O368" s="8"/>
    </row>
    <row r="369">
      <c r="A369" s="23" t="s">
        <v>55</v>
      </c>
      <c r="B369" s="23" t="s">
        <v>88</v>
      </c>
      <c r="C369" s="24" t="s">
        <v>462</v>
      </c>
      <c r="D369" s="25">
        <v>3139000.0</v>
      </c>
      <c r="E369" s="26">
        <v>4.0</v>
      </c>
      <c r="F369" s="27">
        <v>40.0</v>
      </c>
      <c r="G369" s="28" t="s">
        <v>155</v>
      </c>
      <c r="O369" s="8"/>
    </row>
    <row r="370">
      <c r="A370" s="23" t="s">
        <v>55</v>
      </c>
      <c r="B370" s="23" t="s">
        <v>88</v>
      </c>
      <c r="C370" s="24" t="s">
        <v>463</v>
      </c>
      <c r="D370" s="25">
        <v>2839000.0</v>
      </c>
      <c r="E370" s="26">
        <v>5.0</v>
      </c>
      <c r="F370" s="27">
        <v>40.0</v>
      </c>
      <c r="G370" s="28" t="s">
        <v>155</v>
      </c>
      <c r="O370" s="8"/>
    </row>
    <row r="371">
      <c r="A371" s="23" t="s">
        <v>55</v>
      </c>
      <c r="B371" s="23" t="s">
        <v>88</v>
      </c>
      <c r="C371" s="24" t="s">
        <v>464</v>
      </c>
      <c r="D371" s="25">
        <v>2659000.0</v>
      </c>
      <c r="E371" s="26">
        <v>1.0</v>
      </c>
      <c r="F371" s="27">
        <v>40.0</v>
      </c>
      <c r="G371" s="28" t="s">
        <v>155</v>
      </c>
      <c r="O371" s="8"/>
    </row>
    <row r="372">
      <c r="A372" s="23" t="s">
        <v>55</v>
      </c>
      <c r="B372" s="23" t="s">
        <v>88</v>
      </c>
      <c r="C372" s="24" t="s">
        <v>465</v>
      </c>
      <c r="D372" s="25">
        <v>2489000.0</v>
      </c>
      <c r="E372" s="26">
        <v>1.0</v>
      </c>
      <c r="F372" s="27">
        <v>40.0</v>
      </c>
      <c r="G372" s="28" t="s">
        <v>155</v>
      </c>
      <c r="O372" s="8"/>
    </row>
    <row r="373">
      <c r="A373" s="23" t="s">
        <v>55</v>
      </c>
      <c r="B373" s="23" t="s">
        <v>88</v>
      </c>
      <c r="C373" s="24" t="s">
        <v>466</v>
      </c>
      <c r="D373" s="25">
        <v>2819000.0</v>
      </c>
      <c r="E373" s="26">
        <v>3.0</v>
      </c>
      <c r="F373" s="27">
        <v>40.0</v>
      </c>
      <c r="G373" s="28" t="s">
        <v>155</v>
      </c>
      <c r="O373" s="8"/>
    </row>
    <row r="374">
      <c r="A374" s="23" t="s">
        <v>55</v>
      </c>
      <c r="B374" s="23" t="s">
        <v>88</v>
      </c>
      <c r="C374" s="24" t="s">
        <v>467</v>
      </c>
      <c r="D374" s="25">
        <v>2489000.0</v>
      </c>
      <c r="E374" s="26">
        <v>27.0</v>
      </c>
      <c r="F374" s="27">
        <v>40.0</v>
      </c>
      <c r="G374" s="28" t="s">
        <v>155</v>
      </c>
      <c r="O374" s="8"/>
    </row>
    <row r="375">
      <c r="A375" s="23" t="s">
        <v>55</v>
      </c>
      <c r="B375" s="23" t="s">
        <v>88</v>
      </c>
      <c r="C375" s="24" t="s">
        <v>468</v>
      </c>
      <c r="D375" s="25">
        <v>2489000.0</v>
      </c>
      <c r="E375" s="26">
        <v>5.0</v>
      </c>
      <c r="F375" s="27">
        <v>40.0</v>
      </c>
      <c r="G375" s="28" t="s">
        <v>155</v>
      </c>
      <c r="O375" s="8"/>
    </row>
    <row r="376">
      <c r="A376" s="23" t="s">
        <v>55</v>
      </c>
      <c r="B376" s="23" t="s">
        <v>88</v>
      </c>
      <c r="C376" s="24" t="s">
        <v>469</v>
      </c>
      <c r="D376" s="25">
        <v>2659000.0</v>
      </c>
      <c r="E376" s="26">
        <v>4.0</v>
      </c>
      <c r="F376" s="27">
        <v>40.0</v>
      </c>
      <c r="G376" s="28" t="s">
        <v>155</v>
      </c>
      <c r="O376" s="8"/>
    </row>
    <row r="377">
      <c r="A377" s="23" t="s">
        <v>55</v>
      </c>
      <c r="B377" s="23" t="s">
        <v>88</v>
      </c>
      <c r="C377" s="24" t="s">
        <v>470</v>
      </c>
      <c r="D377" s="25">
        <v>2659000.0</v>
      </c>
      <c r="E377" s="26">
        <v>2.0</v>
      </c>
      <c r="F377" s="27">
        <v>40.0</v>
      </c>
      <c r="G377" s="28" t="s">
        <v>155</v>
      </c>
      <c r="O377" s="8"/>
    </row>
    <row r="378">
      <c r="A378" s="23" t="s">
        <v>55</v>
      </c>
      <c r="B378" s="23" t="s">
        <v>88</v>
      </c>
      <c r="C378" s="24" t="s">
        <v>471</v>
      </c>
      <c r="D378" s="25">
        <v>2819000.0</v>
      </c>
      <c r="E378" s="26">
        <v>3.0</v>
      </c>
      <c r="F378" s="27">
        <v>40.0</v>
      </c>
      <c r="G378" s="28" t="s">
        <v>155</v>
      </c>
      <c r="O378" s="8"/>
    </row>
    <row r="379">
      <c r="A379" s="23" t="s">
        <v>55</v>
      </c>
      <c r="B379" s="23" t="s">
        <v>88</v>
      </c>
      <c r="C379" s="24" t="s">
        <v>472</v>
      </c>
      <c r="D379" s="25">
        <v>3139000.0</v>
      </c>
      <c r="E379" s="26">
        <v>1.0</v>
      </c>
      <c r="F379" s="27">
        <v>40.0</v>
      </c>
      <c r="G379" s="28" t="s">
        <v>155</v>
      </c>
      <c r="O379" s="8"/>
    </row>
    <row r="380">
      <c r="A380" s="23" t="s">
        <v>55</v>
      </c>
      <c r="B380" s="23" t="s">
        <v>88</v>
      </c>
      <c r="C380" s="24" t="s">
        <v>473</v>
      </c>
      <c r="D380" s="25">
        <v>2669000.0</v>
      </c>
      <c r="E380" s="26">
        <v>2.0</v>
      </c>
      <c r="F380" s="27">
        <v>40.0</v>
      </c>
      <c r="G380" s="28" t="s">
        <v>155</v>
      </c>
      <c r="O380" s="8"/>
    </row>
    <row r="381">
      <c r="A381" s="23" t="s">
        <v>55</v>
      </c>
      <c r="B381" s="23" t="s">
        <v>88</v>
      </c>
      <c r="C381" s="24" t="s">
        <v>474</v>
      </c>
      <c r="D381" s="25">
        <v>2899000.0</v>
      </c>
      <c r="E381" s="26">
        <v>2.0</v>
      </c>
      <c r="F381" s="27">
        <v>40.0</v>
      </c>
      <c r="G381" s="28" t="s">
        <v>155</v>
      </c>
      <c r="O381" s="8"/>
    </row>
    <row r="382">
      <c r="A382" s="23" t="s">
        <v>55</v>
      </c>
      <c r="B382" s="23" t="s">
        <v>88</v>
      </c>
      <c r="C382" s="24" t="s">
        <v>475</v>
      </c>
      <c r="D382" s="25">
        <v>2899000.0</v>
      </c>
      <c r="E382" s="26">
        <v>4.0</v>
      </c>
      <c r="F382" s="27">
        <v>40.0</v>
      </c>
      <c r="G382" s="28" t="s">
        <v>155</v>
      </c>
      <c r="O382" s="8"/>
    </row>
    <row r="383">
      <c r="A383" s="23" t="s">
        <v>55</v>
      </c>
      <c r="B383" s="23" t="s">
        <v>88</v>
      </c>
      <c r="C383" s="24" t="s">
        <v>476</v>
      </c>
      <c r="D383" s="25">
        <v>2059000.0</v>
      </c>
      <c r="E383" s="26">
        <v>6.0</v>
      </c>
      <c r="F383" s="27">
        <v>40.0</v>
      </c>
      <c r="G383" s="28" t="s">
        <v>155</v>
      </c>
      <c r="O383" s="8"/>
    </row>
    <row r="384">
      <c r="A384" s="23" t="s">
        <v>55</v>
      </c>
      <c r="B384" s="23" t="s">
        <v>88</v>
      </c>
      <c r="C384" s="24" t="s">
        <v>477</v>
      </c>
      <c r="D384" s="25">
        <v>2059000.0</v>
      </c>
      <c r="E384" s="26">
        <v>2.0</v>
      </c>
      <c r="F384" s="27">
        <v>40.0</v>
      </c>
      <c r="G384" s="28" t="s">
        <v>155</v>
      </c>
      <c r="O384" s="8"/>
    </row>
    <row r="385">
      <c r="A385" s="23" t="s">
        <v>55</v>
      </c>
      <c r="B385" s="23" t="s">
        <v>88</v>
      </c>
      <c r="C385" s="24" t="s">
        <v>478</v>
      </c>
      <c r="D385" s="25">
        <v>2059000.0</v>
      </c>
      <c r="E385" s="26">
        <v>2.0</v>
      </c>
      <c r="F385" s="27">
        <v>40.0</v>
      </c>
      <c r="G385" s="28" t="s">
        <v>155</v>
      </c>
      <c r="O385" s="8"/>
    </row>
    <row r="386">
      <c r="A386" s="23" t="s">
        <v>55</v>
      </c>
      <c r="B386" s="23" t="s">
        <v>88</v>
      </c>
      <c r="C386" s="24" t="s">
        <v>479</v>
      </c>
      <c r="D386" s="25">
        <v>2059000.0</v>
      </c>
      <c r="E386" s="26">
        <v>4.0</v>
      </c>
      <c r="F386" s="27">
        <v>40.0</v>
      </c>
      <c r="G386" s="28" t="s">
        <v>155</v>
      </c>
      <c r="O386" s="8"/>
    </row>
    <row r="387">
      <c r="A387" s="23" t="s">
        <v>55</v>
      </c>
      <c r="B387" s="23" t="s">
        <v>88</v>
      </c>
      <c r="C387" s="24" t="s">
        <v>480</v>
      </c>
      <c r="D387" s="25">
        <v>2059000.0</v>
      </c>
      <c r="E387" s="26">
        <v>1.0</v>
      </c>
      <c r="F387" s="27">
        <v>40.0</v>
      </c>
      <c r="G387" s="28" t="s">
        <v>155</v>
      </c>
      <c r="O387" s="8"/>
    </row>
    <row r="388">
      <c r="A388" s="23" t="s">
        <v>55</v>
      </c>
      <c r="B388" s="23" t="s">
        <v>88</v>
      </c>
      <c r="C388" s="24" t="s">
        <v>481</v>
      </c>
      <c r="D388" s="25">
        <v>2219000.0</v>
      </c>
      <c r="E388" s="26">
        <v>4.0</v>
      </c>
      <c r="F388" s="27">
        <v>40.0</v>
      </c>
      <c r="G388" s="28" t="s">
        <v>155</v>
      </c>
      <c r="O388" s="8"/>
    </row>
    <row r="389">
      <c r="A389" s="23" t="s">
        <v>55</v>
      </c>
      <c r="B389" s="23" t="s">
        <v>88</v>
      </c>
      <c r="C389" s="24" t="s">
        <v>482</v>
      </c>
      <c r="D389" s="25">
        <v>2059000.0</v>
      </c>
      <c r="E389" s="26">
        <v>9.0</v>
      </c>
      <c r="F389" s="27">
        <v>40.0</v>
      </c>
      <c r="G389" s="28" t="s">
        <v>155</v>
      </c>
      <c r="O389" s="8"/>
    </row>
    <row r="390">
      <c r="A390" s="23" t="s">
        <v>55</v>
      </c>
      <c r="B390" s="23" t="s">
        <v>88</v>
      </c>
      <c r="C390" s="24" t="s">
        <v>483</v>
      </c>
      <c r="D390" s="25">
        <v>2059000.0</v>
      </c>
      <c r="E390" s="26">
        <v>8.0</v>
      </c>
      <c r="F390" s="27">
        <v>40.0</v>
      </c>
      <c r="G390" s="28" t="s">
        <v>155</v>
      </c>
      <c r="O390" s="8"/>
    </row>
    <row r="391">
      <c r="A391" s="23" t="s">
        <v>55</v>
      </c>
      <c r="B391" s="23" t="s">
        <v>88</v>
      </c>
      <c r="C391" s="24" t="s">
        <v>484</v>
      </c>
      <c r="D391" s="25">
        <v>1.0839E7</v>
      </c>
      <c r="E391" s="26">
        <v>1.0</v>
      </c>
      <c r="F391" s="27">
        <v>40.0</v>
      </c>
      <c r="G391" s="28" t="s">
        <v>155</v>
      </c>
      <c r="O391" s="8"/>
    </row>
    <row r="392">
      <c r="A392" s="23" t="s">
        <v>55</v>
      </c>
      <c r="B392" s="23" t="s">
        <v>88</v>
      </c>
      <c r="C392" s="24" t="s">
        <v>485</v>
      </c>
      <c r="D392" s="25">
        <v>1.3089E7</v>
      </c>
      <c r="E392" s="26">
        <v>3.0</v>
      </c>
      <c r="F392" s="27">
        <v>40.0</v>
      </c>
      <c r="G392" s="28" t="s">
        <v>155</v>
      </c>
      <c r="O392" s="8"/>
    </row>
    <row r="393">
      <c r="A393" s="23" t="s">
        <v>55</v>
      </c>
      <c r="B393" s="23" t="s">
        <v>88</v>
      </c>
      <c r="C393" s="24" t="s">
        <v>486</v>
      </c>
      <c r="D393" s="25">
        <v>1.3639E7</v>
      </c>
      <c r="E393" s="26">
        <v>3.0</v>
      </c>
      <c r="F393" s="27">
        <v>40.0</v>
      </c>
      <c r="G393" s="28" t="s">
        <v>155</v>
      </c>
      <c r="O393" s="8"/>
    </row>
    <row r="394">
      <c r="A394" s="23" t="s">
        <v>55</v>
      </c>
      <c r="B394" s="23" t="s">
        <v>88</v>
      </c>
      <c r="C394" s="24" t="s">
        <v>487</v>
      </c>
      <c r="D394" s="25">
        <v>1.4249E7</v>
      </c>
      <c r="E394" s="26">
        <v>3.0</v>
      </c>
      <c r="F394" s="27">
        <v>40.0</v>
      </c>
      <c r="G394" s="28" t="s">
        <v>155</v>
      </c>
      <c r="O394" s="8"/>
    </row>
    <row r="395">
      <c r="A395" s="23" t="s">
        <v>55</v>
      </c>
      <c r="B395" s="23" t="s">
        <v>88</v>
      </c>
      <c r="C395" s="24" t="s">
        <v>488</v>
      </c>
      <c r="D395" s="25">
        <v>1.9509E7</v>
      </c>
      <c r="E395" s="26">
        <v>3.0</v>
      </c>
      <c r="F395" s="27">
        <v>40.0</v>
      </c>
      <c r="G395" s="28" t="s">
        <v>155</v>
      </c>
      <c r="O395" s="8"/>
    </row>
    <row r="396">
      <c r="A396" s="23" t="s">
        <v>55</v>
      </c>
      <c r="B396" s="23" t="s">
        <v>88</v>
      </c>
      <c r="C396" s="24" t="s">
        <v>489</v>
      </c>
      <c r="D396" s="25">
        <v>1.8969E7</v>
      </c>
      <c r="E396" s="26">
        <v>2.0</v>
      </c>
      <c r="F396" s="27">
        <v>40.0</v>
      </c>
      <c r="G396" s="28" t="s">
        <v>155</v>
      </c>
      <c r="O396" s="8"/>
    </row>
    <row r="397">
      <c r="A397" s="23" t="s">
        <v>55</v>
      </c>
      <c r="B397" s="23" t="s">
        <v>88</v>
      </c>
      <c r="C397" s="24" t="s">
        <v>490</v>
      </c>
      <c r="D397" s="25">
        <v>9799000.0</v>
      </c>
      <c r="E397" s="26">
        <v>1.0</v>
      </c>
      <c r="F397" s="27">
        <v>40.0</v>
      </c>
      <c r="G397" s="28" t="s">
        <v>155</v>
      </c>
      <c r="O397" s="8"/>
    </row>
    <row r="398">
      <c r="A398" s="23" t="s">
        <v>55</v>
      </c>
      <c r="B398" s="23" t="s">
        <v>88</v>
      </c>
      <c r="C398" s="24" t="s">
        <v>491</v>
      </c>
      <c r="D398" s="25">
        <v>7859000.0</v>
      </c>
      <c r="E398" s="26">
        <v>3.0</v>
      </c>
      <c r="F398" s="27">
        <v>40.0</v>
      </c>
      <c r="G398" s="28" t="s">
        <v>155</v>
      </c>
      <c r="O398" s="8"/>
    </row>
    <row r="399">
      <c r="A399" s="23" t="s">
        <v>55</v>
      </c>
      <c r="B399" s="23" t="s">
        <v>88</v>
      </c>
      <c r="C399" s="24" t="s">
        <v>492</v>
      </c>
      <c r="D399" s="25">
        <v>7589000.0</v>
      </c>
      <c r="E399" s="26">
        <v>1.0</v>
      </c>
      <c r="F399" s="27">
        <v>40.0</v>
      </c>
      <c r="G399" s="28" t="s">
        <v>155</v>
      </c>
      <c r="O399" s="8"/>
    </row>
    <row r="400">
      <c r="A400" s="23" t="s">
        <v>55</v>
      </c>
      <c r="B400" s="23" t="s">
        <v>88</v>
      </c>
      <c r="C400" s="24" t="s">
        <v>493</v>
      </c>
      <c r="D400" s="25">
        <v>2839000.0</v>
      </c>
      <c r="E400" s="26">
        <v>3.0</v>
      </c>
      <c r="F400" s="27">
        <v>40.0</v>
      </c>
      <c r="G400" s="28" t="s">
        <v>155</v>
      </c>
      <c r="O400" s="8"/>
    </row>
    <row r="401">
      <c r="A401" s="23" t="s">
        <v>55</v>
      </c>
      <c r="B401" s="23" t="s">
        <v>88</v>
      </c>
      <c r="C401" s="24" t="s">
        <v>494</v>
      </c>
      <c r="D401" s="25">
        <v>4269000.0</v>
      </c>
      <c r="E401" s="26">
        <v>5.0</v>
      </c>
      <c r="F401" s="27">
        <v>40.0</v>
      </c>
      <c r="G401" s="28" t="s">
        <v>155</v>
      </c>
      <c r="O401" s="8"/>
    </row>
    <row r="402">
      <c r="A402" s="23" t="s">
        <v>55</v>
      </c>
      <c r="B402" s="23" t="s">
        <v>88</v>
      </c>
      <c r="C402" s="24" t="s">
        <v>495</v>
      </c>
      <c r="D402" s="25">
        <v>3719000.0</v>
      </c>
      <c r="E402" s="26">
        <v>2.0</v>
      </c>
      <c r="F402" s="27">
        <v>40.0</v>
      </c>
      <c r="G402" s="28" t="s">
        <v>155</v>
      </c>
      <c r="O402" s="8"/>
    </row>
    <row r="403">
      <c r="A403" s="23" t="s">
        <v>55</v>
      </c>
      <c r="B403" s="23" t="s">
        <v>88</v>
      </c>
      <c r="C403" s="24" t="s">
        <v>496</v>
      </c>
      <c r="D403" s="25">
        <v>3009000.0</v>
      </c>
      <c r="E403" s="26">
        <v>1.0</v>
      </c>
      <c r="F403" s="27">
        <v>40.0</v>
      </c>
      <c r="G403" s="28" t="s">
        <v>155</v>
      </c>
      <c r="O403" s="8"/>
    </row>
    <row r="404">
      <c r="A404" s="23" t="s">
        <v>55</v>
      </c>
      <c r="B404" s="23" t="s">
        <v>88</v>
      </c>
      <c r="C404" s="24" t="s">
        <v>497</v>
      </c>
      <c r="D404" s="25">
        <v>1.7069E7</v>
      </c>
      <c r="E404" s="26">
        <v>1.0</v>
      </c>
      <c r="F404" s="27">
        <v>40.0</v>
      </c>
      <c r="G404" s="28" t="s">
        <v>155</v>
      </c>
      <c r="O404" s="8"/>
    </row>
    <row r="405">
      <c r="A405" s="23" t="s">
        <v>55</v>
      </c>
      <c r="B405" s="23" t="s">
        <v>88</v>
      </c>
      <c r="C405" s="24" t="s">
        <v>498</v>
      </c>
      <c r="D405" s="25">
        <v>1.7069E7</v>
      </c>
      <c r="E405" s="26">
        <v>4.0</v>
      </c>
      <c r="F405" s="27">
        <v>40.0</v>
      </c>
      <c r="G405" s="28" t="s">
        <v>155</v>
      </c>
      <c r="O405" s="8"/>
    </row>
    <row r="406">
      <c r="A406" s="23" t="s">
        <v>55</v>
      </c>
      <c r="B406" s="23" t="s">
        <v>88</v>
      </c>
      <c r="C406" s="24" t="s">
        <v>499</v>
      </c>
      <c r="D406" s="25">
        <v>1.7069E7</v>
      </c>
      <c r="E406" s="26">
        <v>2.0</v>
      </c>
      <c r="F406" s="27">
        <v>40.0</v>
      </c>
      <c r="G406" s="28" t="s">
        <v>155</v>
      </c>
      <c r="O406" s="8"/>
    </row>
    <row r="407">
      <c r="A407" s="23" t="s">
        <v>55</v>
      </c>
      <c r="B407" s="23" t="s">
        <v>88</v>
      </c>
      <c r="C407" s="24" t="s">
        <v>500</v>
      </c>
      <c r="D407" s="25">
        <v>1.9629E7</v>
      </c>
      <c r="E407" s="26">
        <v>1.0</v>
      </c>
      <c r="F407" s="27">
        <v>40.0</v>
      </c>
      <c r="G407" s="28" t="s">
        <v>155</v>
      </c>
      <c r="O407" s="8"/>
    </row>
    <row r="408">
      <c r="A408" s="23" t="s">
        <v>55</v>
      </c>
      <c r="B408" s="23" t="s">
        <v>88</v>
      </c>
      <c r="C408" s="24" t="s">
        <v>501</v>
      </c>
      <c r="D408" s="25">
        <v>4169000.0</v>
      </c>
      <c r="E408" s="26">
        <v>1.0</v>
      </c>
      <c r="F408" s="27">
        <v>40.0</v>
      </c>
      <c r="G408" s="28" t="s">
        <v>155</v>
      </c>
      <c r="O408" s="8"/>
    </row>
    <row r="409">
      <c r="A409" s="23" t="s">
        <v>55</v>
      </c>
      <c r="B409" s="23" t="s">
        <v>88</v>
      </c>
      <c r="C409" s="24" t="s">
        <v>502</v>
      </c>
      <c r="D409" s="25">
        <v>5149000.0</v>
      </c>
      <c r="E409" s="26">
        <v>2.0</v>
      </c>
      <c r="F409" s="27">
        <v>40.0</v>
      </c>
      <c r="G409" s="28" t="s">
        <v>155</v>
      </c>
      <c r="O409" s="8"/>
    </row>
    <row r="410">
      <c r="A410" s="23" t="s">
        <v>55</v>
      </c>
      <c r="B410" s="23" t="s">
        <v>503</v>
      </c>
      <c r="C410" s="24" t="s">
        <v>504</v>
      </c>
      <c r="D410" s="25">
        <v>1.0799E7</v>
      </c>
      <c r="E410" s="26">
        <v>1.0</v>
      </c>
      <c r="F410" s="27">
        <v>35.0</v>
      </c>
      <c r="G410" s="28">
        <v>25.0</v>
      </c>
      <c r="O410" s="8"/>
    </row>
    <row r="411">
      <c r="A411" s="23" t="s">
        <v>55</v>
      </c>
      <c r="B411" s="23" t="s">
        <v>503</v>
      </c>
      <c r="C411" s="24" t="s">
        <v>505</v>
      </c>
      <c r="D411" s="25">
        <v>9899000.0</v>
      </c>
      <c r="E411" s="26">
        <v>1.0</v>
      </c>
      <c r="F411" s="27">
        <v>35.0</v>
      </c>
      <c r="G411" s="28">
        <v>25.0</v>
      </c>
      <c r="O411" s="8"/>
    </row>
    <row r="412">
      <c r="A412" s="23" t="s">
        <v>55</v>
      </c>
      <c r="B412" s="23" t="s">
        <v>503</v>
      </c>
      <c r="C412" s="24" t="s">
        <v>506</v>
      </c>
      <c r="D412" s="25">
        <v>9599000.0</v>
      </c>
      <c r="E412" s="26">
        <v>2.0</v>
      </c>
      <c r="F412" s="27">
        <v>30.0</v>
      </c>
      <c r="G412" s="28">
        <v>25.0</v>
      </c>
      <c r="O412" s="8"/>
    </row>
    <row r="413">
      <c r="A413" s="23" t="s">
        <v>55</v>
      </c>
      <c r="B413" s="23" t="s">
        <v>503</v>
      </c>
      <c r="C413" s="24" t="s">
        <v>507</v>
      </c>
      <c r="D413" s="25">
        <v>9599000.0</v>
      </c>
      <c r="E413" s="26">
        <v>1.0</v>
      </c>
      <c r="F413" s="27">
        <v>30.0</v>
      </c>
      <c r="G413" s="28">
        <v>25.0</v>
      </c>
      <c r="O413" s="8"/>
    </row>
    <row r="414">
      <c r="A414" s="23" t="s">
        <v>55</v>
      </c>
      <c r="B414" s="23" t="s">
        <v>503</v>
      </c>
      <c r="C414" s="24" t="s">
        <v>508</v>
      </c>
      <c r="D414" s="25">
        <v>6980000.0</v>
      </c>
      <c r="E414" s="26">
        <v>1.0</v>
      </c>
      <c r="F414" s="27">
        <v>35.0</v>
      </c>
      <c r="G414" s="28">
        <v>25.0</v>
      </c>
      <c r="O414" s="8"/>
    </row>
    <row r="415">
      <c r="A415" s="23" t="s">
        <v>55</v>
      </c>
      <c r="B415" s="23" t="s">
        <v>503</v>
      </c>
      <c r="C415" s="24" t="s">
        <v>509</v>
      </c>
      <c r="D415" s="25">
        <v>5990000.0</v>
      </c>
      <c r="E415" s="26">
        <v>4.0</v>
      </c>
      <c r="F415" s="27">
        <v>35.0</v>
      </c>
      <c r="G415" s="28">
        <v>25.0</v>
      </c>
      <c r="O415" s="8"/>
    </row>
    <row r="416">
      <c r="A416" s="23" t="s">
        <v>55</v>
      </c>
      <c r="B416" s="23" t="s">
        <v>510</v>
      </c>
      <c r="C416" s="24" t="s">
        <v>511</v>
      </c>
      <c r="D416" s="25">
        <v>7999000.0</v>
      </c>
      <c r="E416" s="26">
        <v>1.0</v>
      </c>
      <c r="F416" s="27">
        <v>50.0</v>
      </c>
      <c r="G416" s="28" t="s">
        <v>155</v>
      </c>
      <c r="O416" s="8"/>
    </row>
    <row r="417">
      <c r="A417" s="23" t="s">
        <v>55</v>
      </c>
      <c r="B417" s="23" t="s">
        <v>510</v>
      </c>
      <c r="C417" s="24" t="s">
        <v>512</v>
      </c>
      <c r="D417" s="25">
        <v>7499000.0</v>
      </c>
      <c r="E417" s="26">
        <v>1.0</v>
      </c>
      <c r="F417" s="27">
        <v>50.0</v>
      </c>
      <c r="G417" s="28" t="s">
        <v>155</v>
      </c>
      <c r="O417" s="8"/>
    </row>
    <row r="418">
      <c r="A418" s="23" t="s">
        <v>55</v>
      </c>
      <c r="B418" s="23" t="s">
        <v>510</v>
      </c>
      <c r="C418" s="24" t="s">
        <v>513</v>
      </c>
      <c r="D418" s="25">
        <v>5499000.0</v>
      </c>
      <c r="E418" s="26">
        <v>1.0</v>
      </c>
      <c r="F418" s="27">
        <v>50.0</v>
      </c>
      <c r="G418" s="28" t="s">
        <v>155</v>
      </c>
      <c r="O418" s="8"/>
    </row>
    <row r="419">
      <c r="A419" s="23" t="s">
        <v>55</v>
      </c>
      <c r="B419" s="23" t="s">
        <v>510</v>
      </c>
      <c r="C419" s="24" t="s">
        <v>514</v>
      </c>
      <c r="D419" s="25">
        <v>4499000.0</v>
      </c>
      <c r="E419" s="26">
        <v>1.0</v>
      </c>
      <c r="F419" s="27">
        <v>50.0</v>
      </c>
      <c r="G419" s="28" t="s">
        <v>155</v>
      </c>
      <c r="O419" s="8"/>
    </row>
    <row r="420">
      <c r="A420" s="23" t="s">
        <v>55</v>
      </c>
      <c r="B420" s="23" t="s">
        <v>510</v>
      </c>
      <c r="C420" s="24" t="s">
        <v>515</v>
      </c>
      <c r="D420" s="25">
        <v>4999000.0</v>
      </c>
      <c r="E420" s="26">
        <v>2.0</v>
      </c>
      <c r="F420" s="27">
        <v>50.0</v>
      </c>
      <c r="G420" s="28" t="s">
        <v>155</v>
      </c>
      <c r="O420" s="8"/>
    </row>
    <row r="421">
      <c r="A421" s="23" t="s">
        <v>55</v>
      </c>
      <c r="B421" s="23" t="s">
        <v>510</v>
      </c>
      <c r="C421" s="24" t="s">
        <v>516</v>
      </c>
      <c r="D421" s="25">
        <v>6999000.0</v>
      </c>
      <c r="E421" s="26">
        <v>4.0</v>
      </c>
      <c r="F421" s="27">
        <v>50.0</v>
      </c>
      <c r="G421" s="28" t="s">
        <v>155</v>
      </c>
      <c r="O421" s="8"/>
    </row>
    <row r="422">
      <c r="A422" s="23" t="s">
        <v>55</v>
      </c>
      <c r="B422" s="23" t="s">
        <v>510</v>
      </c>
      <c r="C422" s="24" t="s">
        <v>517</v>
      </c>
      <c r="D422" s="25">
        <v>6999000.0</v>
      </c>
      <c r="E422" s="26">
        <v>3.0</v>
      </c>
      <c r="F422" s="27">
        <v>50.0</v>
      </c>
      <c r="G422" s="28" t="s">
        <v>155</v>
      </c>
      <c r="O422" s="8"/>
    </row>
    <row r="423">
      <c r="A423" s="23" t="s">
        <v>55</v>
      </c>
      <c r="B423" s="23" t="s">
        <v>510</v>
      </c>
      <c r="C423" s="24" t="s">
        <v>518</v>
      </c>
      <c r="D423" s="25">
        <v>6799000.0</v>
      </c>
      <c r="E423" s="26">
        <v>5.0</v>
      </c>
      <c r="F423" s="27">
        <v>50.0</v>
      </c>
      <c r="G423" s="28" t="s">
        <v>155</v>
      </c>
      <c r="O423" s="8"/>
    </row>
    <row r="424">
      <c r="A424" s="23" t="s">
        <v>55</v>
      </c>
      <c r="B424" s="23" t="s">
        <v>510</v>
      </c>
      <c r="C424" s="24" t="s">
        <v>519</v>
      </c>
      <c r="D424" s="25">
        <v>7999000.0</v>
      </c>
      <c r="E424" s="26">
        <v>3.0</v>
      </c>
      <c r="F424" s="27">
        <v>50.0</v>
      </c>
      <c r="G424" s="28" t="s">
        <v>155</v>
      </c>
      <c r="O424" s="8"/>
    </row>
    <row r="425">
      <c r="A425" s="23" t="s">
        <v>55</v>
      </c>
      <c r="B425" s="23" t="s">
        <v>510</v>
      </c>
      <c r="C425" s="24" t="s">
        <v>520</v>
      </c>
      <c r="D425" s="25">
        <v>6799000.0</v>
      </c>
      <c r="E425" s="26">
        <v>4.0</v>
      </c>
      <c r="F425" s="27">
        <v>50.0</v>
      </c>
      <c r="G425" s="28" t="s">
        <v>155</v>
      </c>
      <c r="O425" s="8"/>
    </row>
    <row r="426">
      <c r="A426" s="23" t="s">
        <v>55</v>
      </c>
      <c r="B426" s="23" t="s">
        <v>510</v>
      </c>
      <c r="C426" s="24" t="s">
        <v>521</v>
      </c>
      <c r="D426" s="25">
        <v>5999000.0</v>
      </c>
      <c r="E426" s="26">
        <v>1.0</v>
      </c>
      <c r="F426" s="27">
        <v>50.0</v>
      </c>
      <c r="G426" s="28" t="s">
        <v>155</v>
      </c>
      <c r="O426" s="8"/>
    </row>
    <row r="427">
      <c r="A427" s="23" t="s">
        <v>55</v>
      </c>
      <c r="B427" s="23" t="s">
        <v>510</v>
      </c>
      <c r="C427" s="24" t="s">
        <v>522</v>
      </c>
      <c r="D427" s="25">
        <v>5999000.0</v>
      </c>
      <c r="E427" s="26">
        <v>1.0</v>
      </c>
      <c r="F427" s="27">
        <v>50.0</v>
      </c>
      <c r="G427" s="28" t="s">
        <v>155</v>
      </c>
      <c r="O427" s="8"/>
    </row>
    <row r="428">
      <c r="A428" s="23" t="s">
        <v>55</v>
      </c>
      <c r="B428" s="23" t="s">
        <v>510</v>
      </c>
      <c r="C428" s="24" t="s">
        <v>523</v>
      </c>
      <c r="D428" s="25">
        <v>7299000.0</v>
      </c>
      <c r="E428" s="26">
        <v>1.0</v>
      </c>
      <c r="F428" s="27">
        <v>50.0</v>
      </c>
      <c r="G428" s="28" t="s">
        <v>155</v>
      </c>
      <c r="O428" s="8"/>
    </row>
    <row r="429">
      <c r="A429" s="23" t="s">
        <v>55</v>
      </c>
      <c r="B429" s="23" t="s">
        <v>510</v>
      </c>
      <c r="C429" s="24" t="s">
        <v>524</v>
      </c>
      <c r="D429" s="25">
        <v>7499000.0</v>
      </c>
      <c r="E429" s="26">
        <v>1.0</v>
      </c>
      <c r="F429" s="27">
        <v>50.0</v>
      </c>
      <c r="G429" s="28" t="s">
        <v>155</v>
      </c>
      <c r="O429" s="8"/>
    </row>
    <row r="430">
      <c r="A430" s="23" t="s">
        <v>55</v>
      </c>
      <c r="B430" s="23" t="s">
        <v>510</v>
      </c>
      <c r="C430" s="24" t="s">
        <v>525</v>
      </c>
      <c r="D430" s="25">
        <v>5799000.0</v>
      </c>
      <c r="E430" s="26">
        <v>2.0</v>
      </c>
      <c r="F430" s="27">
        <v>50.0</v>
      </c>
      <c r="G430" s="28" t="s">
        <v>155</v>
      </c>
      <c r="O430" s="8"/>
    </row>
    <row r="431">
      <c r="A431" s="23" t="s">
        <v>55</v>
      </c>
      <c r="B431" s="23" t="s">
        <v>510</v>
      </c>
      <c r="C431" s="24" t="s">
        <v>526</v>
      </c>
      <c r="D431" s="25">
        <v>6299000.0</v>
      </c>
      <c r="E431" s="26">
        <v>1.0</v>
      </c>
      <c r="F431" s="27">
        <v>50.0</v>
      </c>
      <c r="G431" s="28" t="s">
        <v>155</v>
      </c>
      <c r="O431" s="8"/>
    </row>
    <row r="432">
      <c r="A432" s="23" t="s">
        <v>55</v>
      </c>
      <c r="B432" s="23" t="s">
        <v>510</v>
      </c>
      <c r="C432" s="24" t="s">
        <v>527</v>
      </c>
      <c r="D432" s="25">
        <v>1.0499E7</v>
      </c>
      <c r="E432" s="26">
        <v>1.0</v>
      </c>
      <c r="F432" s="27">
        <v>50.0</v>
      </c>
      <c r="G432" s="28" t="s">
        <v>155</v>
      </c>
      <c r="O432" s="8"/>
    </row>
    <row r="433">
      <c r="A433" s="23" t="s">
        <v>55</v>
      </c>
      <c r="B433" s="23" t="s">
        <v>510</v>
      </c>
      <c r="C433" s="24" t="s">
        <v>528</v>
      </c>
      <c r="D433" s="25">
        <v>7499000.0</v>
      </c>
      <c r="E433" s="26">
        <v>1.0</v>
      </c>
      <c r="F433" s="27">
        <v>50.0</v>
      </c>
      <c r="G433" s="28" t="s">
        <v>155</v>
      </c>
      <c r="O433" s="8"/>
    </row>
    <row r="434">
      <c r="A434" s="23" t="s">
        <v>55</v>
      </c>
      <c r="B434" s="23" t="s">
        <v>510</v>
      </c>
      <c r="C434" s="24" t="s">
        <v>529</v>
      </c>
      <c r="D434" s="25">
        <v>6999000.0</v>
      </c>
      <c r="E434" s="26">
        <v>3.0</v>
      </c>
      <c r="F434" s="27">
        <v>50.0</v>
      </c>
      <c r="G434" s="28" t="s">
        <v>155</v>
      </c>
      <c r="O434" s="8"/>
    </row>
    <row r="435">
      <c r="A435" s="23" t="s">
        <v>55</v>
      </c>
      <c r="B435" s="23" t="s">
        <v>510</v>
      </c>
      <c r="C435" s="24" t="s">
        <v>530</v>
      </c>
      <c r="D435" s="25">
        <v>7499000.0</v>
      </c>
      <c r="E435" s="26">
        <v>1.0</v>
      </c>
      <c r="F435" s="27">
        <v>50.0</v>
      </c>
      <c r="G435" s="28" t="s">
        <v>155</v>
      </c>
      <c r="O435" s="8"/>
    </row>
    <row r="436">
      <c r="A436" s="23" t="s">
        <v>55</v>
      </c>
      <c r="B436" s="23" t="s">
        <v>510</v>
      </c>
      <c r="C436" s="24" t="s">
        <v>531</v>
      </c>
      <c r="D436" s="25">
        <v>5999000.0</v>
      </c>
      <c r="E436" s="26">
        <v>1.0</v>
      </c>
      <c r="F436" s="27">
        <v>50.0</v>
      </c>
      <c r="G436" s="28" t="s">
        <v>155</v>
      </c>
      <c r="O436" s="8"/>
    </row>
    <row r="437">
      <c r="A437" s="23" t="s">
        <v>55</v>
      </c>
      <c r="B437" s="23" t="s">
        <v>510</v>
      </c>
      <c r="C437" s="24" t="s">
        <v>532</v>
      </c>
      <c r="D437" s="25">
        <v>5999000.0</v>
      </c>
      <c r="E437" s="26">
        <v>1.0</v>
      </c>
      <c r="F437" s="27">
        <v>50.0</v>
      </c>
      <c r="G437" s="28" t="s">
        <v>155</v>
      </c>
      <c r="O437" s="8"/>
    </row>
    <row r="438">
      <c r="A438" s="23" t="s">
        <v>55</v>
      </c>
      <c r="B438" s="23" t="s">
        <v>510</v>
      </c>
      <c r="C438" s="24" t="s">
        <v>533</v>
      </c>
      <c r="D438" s="25">
        <v>6799000.0</v>
      </c>
      <c r="E438" s="26">
        <v>1.0</v>
      </c>
      <c r="F438" s="27">
        <v>50.0</v>
      </c>
      <c r="G438" s="28" t="s">
        <v>155</v>
      </c>
      <c r="O438" s="8"/>
    </row>
    <row r="439">
      <c r="A439" s="23" t="s">
        <v>55</v>
      </c>
      <c r="B439" s="23" t="s">
        <v>510</v>
      </c>
      <c r="C439" s="24" t="s">
        <v>534</v>
      </c>
      <c r="D439" s="25">
        <v>6499000.0</v>
      </c>
      <c r="E439" s="26">
        <v>2.0</v>
      </c>
      <c r="F439" s="27">
        <v>50.0</v>
      </c>
      <c r="G439" s="28" t="s">
        <v>155</v>
      </c>
      <c r="O439" s="8"/>
    </row>
    <row r="440">
      <c r="A440" s="23" t="s">
        <v>55</v>
      </c>
      <c r="B440" s="23" t="s">
        <v>510</v>
      </c>
      <c r="C440" s="24" t="s">
        <v>535</v>
      </c>
      <c r="D440" s="25">
        <v>5799000.0</v>
      </c>
      <c r="E440" s="26">
        <v>1.0</v>
      </c>
      <c r="F440" s="27">
        <v>50.0</v>
      </c>
      <c r="G440" s="28" t="s">
        <v>155</v>
      </c>
      <c r="O440" s="8"/>
    </row>
    <row r="441">
      <c r="A441" s="23" t="s">
        <v>55</v>
      </c>
      <c r="B441" s="23" t="s">
        <v>510</v>
      </c>
      <c r="C441" s="24" t="s">
        <v>536</v>
      </c>
      <c r="D441" s="25">
        <v>7299000.0</v>
      </c>
      <c r="E441" s="26">
        <v>1.0</v>
      </c>
      <c r="F441" s="27">
        <v>50.0</v>
      </c>
      <c r="G441" s="28" t="s">
        <v>155</v>
      </c>
      <c r="O441" s="8"/>
    </row>
    <row r="442">
      <c r="A442" s="23" t="s">
        <v>55</v>
      </c>
      <c r="B442" s="23" t="s">
        <v>510</v>
      </c>
      <c r="C442" s="24" t="s">
        <v>537</v>
      </c>
      <c r="D442" s="25">
        <v>9499000.0</v>
      </c>
      <c r="E442" s="26">
        <v>1.0</v>
      </c>
      <c r="F442" s="27">
        <v>50.0</v>
      </c>
      <c r="G442" s="28" t="s">
        <v>155</v>
      </c>
      <c r="O442" s="8"/>
    </row>
    <row r="443">
      <c r="A443" s="23" t="s">
        <v>55</v>
      </c>
      <c r="B443" s="23" t="s">
        <v>510</v>
      </c>
      <c r="C443" s="24" t="s">
        <v>538</v>
      </c>
      <c r="D443" s="25">
        <v>1.0799E7</v>
      </c>
      <c r="E443" s="26">
        <v>1.0</v>
      </c>
      <c r="F443" s="27">
        <v>50.0</v>
      </c>
      <c r="G443" s="28" t="s">
        <v>155</v>
      </c>
      <c r="O443" s="8"/>
    </row>
    <row r="444">
      <c r="A444" s="23" t="s">
        <v>55</v>
      </c>
      <c r="B444" s="23" t="s">
        <v>510</v>
      </c>
      <c r="C444" s="24" t="s">
        <v>539</v>
      </c>
      <c r="D444" s="25">
        <v>6799000.0</v>
      </c>
      <c r="E444" s="26">
        <v>3.0</v>
      </c>
      <c r="F444" s="27">
        <v>50.0</v>
      </c>
      <c r="G444" s="28" t="s">
        <v>155</v>
      </c>
      <c r="O444" s="8"/>
    </row>
    <row r="445">
      <c r="A445" s="23" t="s">
        <v>55</v>
      </c>
      <c r="B445" s="23" t="s">
        <v>510</v>
      </c>
      <c r="C445" s="24" t="s">
        <v>540</v>
      </c>
      <c r="D445" s="25">
        <v>7799000.0</v>
      </c>
      <c r="E445" s="26">
        <v>1.0</v>
      </c>
      <c r="F445" s="27">
        <v>50.0</v>
      </c>
      <c r="G445" s="28" t="s">
        <v>155</v>
      </c>
      <c r="O445" s="8"/>
    </row>
    <row r="446">
      <c r="A446" s="23" t="s">
        <v>55</v>
      </c>
      <c r="B446" s="23" t="s">
        <v>510</v>
      </c>
      <c r="C446" s="24" t="s">
        <v>541</v>
      </c>
      <c r="D446" s="25">
        <v>7499000.0</v>
      </c>
      <c r="E446" s="26">
        <v>1.0</v>
      </c>
      <c r="F446" s="27">
        <v>50.0</v>
      </c>
      <c r="G446" s="28" t="s">
        <v>155</v>
      </c>
      <c r="O446" s="8"/>
    </row>
    <row r="447">
      <c r="A447" s="23" t="s">
        <v>55</v>
      </c>
      <c r="B447" s="23" t="s">
        <v>510</v>
      </c>
      <c r="C447" s="24" t="s">
        <v>542</v>
      </c>
      <c r="D447" s="25">
        <v>1.0299E7</v>
      </c>
      <c r="E447" s="26">
        <v>1.0</v>
      </c>
      <c r="F447" s="27">
        <v>50.0</v>
      </c>
      <c r="G447" s="28" t="s">
        <v>155</v>
      </c>
      <c r="O447" s="8"/>
    </row>
    <row r="448">
      <c r="A448" s="23" t="s">
        <v>55</v>
      </c>
      <c r="B448" s="23" t="s">
        <v>510</v>
      </c>
      <c r="C448" s="24" t="s">
        <v>543</v>
      </c>
      <c r="D448" s="25">
        <v>6299000.0</v>
      </c>
      <c r="E448" s="26">
        <v>1.0</v>
      </c>
      <c r="F448" s="27">
        <v>50.0</v>
      </c>
      <c r="G448" s="28" t="s">
        <v>155</v>
      </c>
      <c r="O448" s="8"/>
    </row>
    <row r="449">
      <c r="A449" s="23" t="s">
        <v>55</v>
      </c>
      <c r="B449" s="23" t="s">
        <v>510</v>
      </c>
      <c r="C449" s="24" t="s">
        <v>544</v>
      </c>
      <c r="D449" s="25">
        <v>6999000.0</v>
      </c>
      <c r="E449" s="26">
        <v>2.0</v>
      </c>
      <c r="F449" s="27">
        <v>50.0</v>
      </c>
      <c r="G449" s="28" t="s">
        <v>155</v>
      </c>
      <c r="O449" s="8"/>
    </row>
    <row r="450">
      <c r="A450" s="23" t="s">
        <v>55</v>
      </c>
      <c r="B450" s="23" t="s">
        <v>510</v>
      </c>
      <c r="C450" s="24" t="s">
        <v>545</v>
      </c>
      <c r="D450" s="25">
        <v>8599000.0</v>
      </c>
      <c r="E450" s="26">
        <v>3.0</v>
      </c>
      <c r="F450" s="27">
        <v>50.0</v>
      </c>
      <c r="G450" s="28" t="s">
        <v>155</v>
      </c>
      <c r="O450" s="8"/>
    </row>
    <row r="451">
      <c r="A451" s="23" t="s">
        <v>55</v>
      </c>
      <c r="B451" s="23" t="s">
        <v>510</v>
      </c>
      <c r="C451" s="24" t="s">
        <v>546</v>
      </c>
      <c r="D451" s="25">
        <v>8499000.0</v>
      </c>
      <c r="E451" s="26">
        <v>1.0</v>
      </c>
      <c r="F451" s="27">
        <v>50.0</v>
      </c>
      <c r="G451" s="28" t="s">
        <v>155</v>
      </c>
      <c r="O451" s="8"/>
    </row>
    <row r="452">
      <c r="A452" s="23" t="s">
        <v>55</v>
      </c>
      <c r="B452" s="23" t="s">
        <v>510</v>
      </c>
      <c r="C452" s="24" t="s">
        <v>547</v>
      </c>
      <c r="D452" s="25">
        <v>9599000.0</v>
      </c>
      <c r="E452" s="26">
        <v>1.0</v>
      </c>
      <c r="F452" s="27">
        <v>50.0</v>
      </c>
      <c r="G452" s="28" t="s">
        <v>155</v>
      </c>
      <c r="O452" s="8"/>
    </row>
    <row r="453">
      <c r="A453" s="23" t="s">
        <v>55</v>
      </c>
      <c r="B453" s="23" t="s">
        <v>510</v>
      </c>
      <c r="C453" s="24" t="s">
        <v>548</v>
      </c>
      <c r="D453" s="25">
        <v>7299000.0</v>
      </c>
      <c r="E453" s="26">
        <v>1.0</v>
      </c>
      <c r="F453" s="27">
        <v>50.0</v>
      </c>
      <c r="G453" s="28" t="s">
        <v>155</v>
      </c>
      <c r="O453" s="8"/>
    </row>
    <row r="454">
      <c r="A454" s="23" t="s">
        <v>55</v>
      </c>
      <c r="B454" s="23" t="s">
        <v>510</v>
      </c>
      <c r="C454" s="24" t="s">
        <v>549</v>
      </c>
      <c r="D454" s="25">
        <v>7299000.0</v>
      </c>
      <c r="E454" s="26">
        <v>2.0</v>
      </c>
      <c r="F454" s="27">
        <v>50.0</v>
      </c>
      <c r="G454" s="28" t="s">
        <v>155</v>
      </c>
      <c r="O454" s="8"/>
    </row>
    <row r="455">
      <c r="A455" s="23" t="s">
        <v>55</v>
      </c>
      <c r="B455" s="23" t="s">
        <v>510</v>
      </c>
      <c r="C455" s="24" t="s">
        <v>550</v>
      </c>
      <c r="D455" s="25">
        <v>8599000.0</v>
      </c>
      <c r="E455" s="26">
        <v>3.0</v>
      </c>
      <c r="F455" s="27">
        <v>50.0</v>
      </c>
      <c r="G455" s="28" t="s">
        <v>155</v>
      </c>
      <c r="O455" s="8"/>
    </row>
    <row r="456">
      <c r="A456" s="23" t="s">
        <v>55</v>
      </c>
      <c r="B456" s="23" t="s">
        <v>510</v>
      </c>
      <c r="C456" s="24" t="s">
        <v>551</v>
      </c>
      <c r="D456" s="25">
        <v>7699000.0</v>
      </c>
      <c r="E456" s="26">
        <v>3.0</v>
      </c>
      <c r="F456" s="27">
        <v>50.0</v>
      </c>
      <c r="G456" s="28" t="s">
        <v>155</v>
      </c>
      <c r="O456" s="8"/>
    </row>
    <row r="457">
      <c r="A457" s="23" t="s">
        <v>55</v>
      </c>
      <c r="B457" s="23" t="s">
        <v>510</v>
      </c>
      <c r="C457" s="24" t="s">
        <v>552</v>
      </c>
      <c r="D457" s="25">
        <v>7699000.0</v>
      </c>
      <c r="E457" s="26">
        <v>3.0</v>
      </c>
      <c r="F457" s="27">
        <v>50.0</v>
      </c>
      <c r="G457" s="28" t="s">
        <v>155</v>
      </c>
      <c r="O457" s="8"/>
    </row>
    <row r="458">
      <c r="A458" s="23" t="s">
        <v>55</v>
      </c>
      <c r="B458" s="23" t="s">
        <v>510</v>
      </c>
      <c r="C458" s="24" t="s">
        <v>553</v>
      </c>
      <c r="D458" s="25">
        <v>7599000.0</v>
      </c>
      <c r="E458" s="26">
        <v>2.0</v>
      </c>
      <c r="F458" s="27">
        <v>50.0</v>
      </c>
      <c r="G458" s="28" t="s">
        <v>155</v>
      </c>
      <c r="O458" s="8"/>
    </row>
    <row r="459">
      <c r="A459" s="23" t="s">
        <v>55</v>
      </c>
      <c r="B459" s="23" t="s">
        <v>510</v>
      </c>
      <c r="C459" s="24" t="s">
        <v>554</v>
      </c>
      <c r="D459" s="25">
        <v>7299000.0</v>
      </c>
      <c r="E459" s="26">
        <v>2.0</v>
      </c>
      <c r="F459" s="27">
        <v>50.0</v>
      </c>
      <c r="G459" s="28" t="s">
        <v>155</v>
      </c>
      <c r="O459" s="8"/>
    </row>
    <row r="460">
      <c r="A460" s="23" t="s">
        <v>55</v>
      </c>
      <c r="B460" s="23" t="s">
        <v>510</v>
      </c>
      <c r="C460" s="24" t="s">
        <v>555</v>
      </c>
      <c r="D460" s="25">
        <v>5999000.0</v>
      </c>
      <c r="E460" s="26">
        <v>5.0</v>
      </c>
      <c r="F460" s="27">
        <v>50.0</v>
      </c>
      <c r="G460" s="28" t="s">
        <v>155</v>
      </c>
      <c r="O460" s="8"/>
    </row>
    <row r="461">
      <c r="A461" s="23" t="s">
        <v>55</v>
      </c>
      <c r="B461" s="23" t="s">
        <v>556</v>
      </c>
      <c r="C461" s="24" t="s">
        <v>557</v>
      </c>
      <c r="D461" s="25">
        <v>1300000.0</v>
      </c>
      <c r="E461" s="26">
        <v>1.0</v>
      </c>
      <c r="F461" s="27">
        <v>50.0</v>
      </c>
      <c r="G461" s="28">
        <v>40.0</v>
      </c>
      <c r="O461" s="8"/>
    </row>
    <row r="462">
      <c r="A462" s="23" t="s">
        <v>55</v>
      </c>
      <c r="B462" s="23" t="s">
        <v>556</v>
      </c>
      <c r="C462" s="24" t="s">
        <v>558</v>
      </c>
      <c r="D462" s="25">
        <v>1210000.0</v>
      </c>
      <c r="E462" s="26">
        <v>1.0</v>
      </c>
      <c r="F462" s="27">
        <v>30.0</v>
      </c>
      <c r="G462" s="28" t="s">
        <v>155</v>
      </c>
      <c r="O462" s="8"/>
    </row>
    <row r="463">
      <c r="A463" s="23" t="s">
        <v>55</v>
      </c>
      <c r="B463" s="23" t="s">
        <v>556</v>
      </c>
      <c r="C463" s="24" t="s">
        <v>559</v>
      </c>
      <c r="D463" s="25">
        <v>1300000.0</v>
      </c>
      <c r="E463" s="26">
        <v>1.0</v>
      </c>
      <c r="F463" s="27">
        <v>30.0</v>
      </c>
      <c r="G463" s="28" t="s">
        <v>155</v>
      </c>
      <c r="O463" s="8"/>
    </row>
    <row r="464">
      <c r="A464" s="23" t="s">
        <v>55</v>
      </c>
      <c r="B464" s="23" t="s">
        <v>556</v>
      </c>
      <c r="C464" s="24" t="s">
        <v>560</v>
      </c>
      <c r="D464" s="25">
        <v>1210000.0</v>
      </c>
      <c r="E464" s="26">
        <v>1.0</v>
      </c>
      <c r="F464" s="27">
        <v>30.0</v>
      </c>
      <c r="G464" s="28" t="s">
        <v>155</v>
      </c>
      <c r="O464" s="8"/>
    </row>
    <row r="465">
      <c r="A465" s="23" t="s">
        <v>55</v>
      </c>
      <c r="B465" s="23" t="s">
        <v>556</v>
      </c>
      <c r="C465" s="24" t="s">
        <v>561</v>
      </c>
      <c r="D465" s="25">
        <v>1360000.0</v>
      </c>
      <c r="E465" s="26">
        <v>1.0</v>
      </c>
      <c r="F465" s="27">
        <v>30.0</v>
      </c>
      <c r="G465" s="28" t="s">
        <v>155</v>
      </c>
      <c r="O465" s="8"/>
    </row>
    <row r="466">
      <c r="A466" s="23" t="s">
        <v>55</v>
      </c>
      <c r="B466" s="23" t="s">
        <v>562</v>
      </c>
      <c r="C466" s="24" t="s">
        <v>563</v>
      </c>
      <c r="D466" s="25">
        <v>2.442E7</v>
      </c>
      <c r="E466" s="26">
        <v>1.0</v>
      </c>
      <c r="F466" s="27">
        <v>30.0</v>
      </c>
      <c r="G466" s="28" t="s">
        <v>155</v>
      </c>
      <c r="O466" s="8"/>
    </row>
    <row r="467">
      <c r="A467" s="23" t="s">
        <v>55</v>
      </c>
      <c r="B467" s="23" t="s">
        <v>564</v>
      </c>
      <c r="C467" s="24" t="s">
        <v>565</v>
      </c>
      <c r="D467" s="25">
        <v>3260000.0</v>
      </c>
      <c r="E467" s="26">
        <v>1.0</v>
      </c>
      <c r="F467" s="27">
        <v>50.0</v>
      </c>
      <c r="G467" s="28">
        <v>30.0</v>
      </c>
      <c r="O467" s="8"/>
    </row>
    <row r="468">
      <c r="A468" s="23" t="s">
        <v>55</v>
      </c>
      <c r="B468" s="23" t="s">
        <v>564</v>
      </c>
      <c r="C468" s="24" t="s">
        <v>566</v>
      </c>
      <c r="D468" s="25">
        <v>3260000.0</v>
      </c>
      <c r="E468" s="26">
        <v>1.0</v>
      </c>
      <c r="F468" s="27">
        <v>50.0</v>
      </c>
      <c r="G468" s="28">
        <v>30.0</v>
      </c>
      <c r="O468" s="8"/>
    </row>
    <row r="469">
      <c r="A469" s="23" t="s">
        <v>55</v>
      </c>
      <c r="B469" s="23" t="s">
        <v>564</v>
      </c>
      <c r="C469" s="24" t="s">
        <v>567</v>
      </c>
      <c r="D469" s="25">
        <v>2460000.0</v>
      </c>
      <c r="E469" s="26">
        <v>1.0</v>
      </c>
      <c r="F469" s="27">
        <v>50.0</v>
      </c>
      <c r="G469" s="28">
        <v>30.0</v>
      </c>
      <c r="O469" s="8"/>
    </row>
    <row r="470">
      <c r="A470" s="23" t="s">
        <v>55</v>
      </c>
      <c r="B470" s="23" t="s">
        <v>564</v>
      </c>
      <c r="C470" s="24" t="s">
        <v>568</v>
      </c>
      <c r="D470" s="25">
        <v>2460000.0</v>
      </c>
      <c r="E470" s="26">
        <v>1.0</v>
      </c>
      <c r="F470" s="27">
        <v>50.0</v>
      </c>
      <c r="G470" s="28">
        <v>30.0</v>
      </c>
      <c r="O470" s="8"/>
    </row>
    <row r="471">
      <c r="A471" s="23" t="s">
        <v>55</v>
      </c>
      <c r="B471" s="23" t="s">
        <v>564</v>
      </c>
      <c r="C471" s="24" t="s">
        <v>569</v>
      </c>
      <c r="D471" s="25">
        <v>2290000.0</v>
      </c>
      <c r="E471" s="26">
        <v>2.0</v>
      </c>
      <c r="F471" s="27">
        <v>50.0</v>
      </c>
      <c r="G471" s="28">
        <v>30.0</v>
      </c>
      <c r="O471" s="8"/>
    </row>
    <row r="472">
      <c r="A472" s="23" t="s">
        <v>55</v>
      </c>
      <c r="B472" s="23" t="s">
        <v>570</v>
      </c>
      <c r="C472" s="24" t="s">
        <v>571</v>
      </c>
      <c r="D472" s="25">
        <v>1.35E7</v>
      </c>
      <c r="E472" s="26">
        <v>1.0</v>
      </c>
      <c r="F472" s="27">
        <v>30.0</v>
      </c>
      <c r="G472" s="28">
        <v>20.0</v>
      </c>
      <c r="O472" s="8"/>
    </row>
    <row r="473">
      <c r="O473" s="8"/>
    </row>
    <row r="474">
      <c r="O474" s="8"/>
    </row>
    <row r="475">
      <c r="O475" s="8"/>
    </row>
    <row r="476">
      <c r="O476" s="8"/>
    </row>
    <row r="477">
      <c r="O477" s="8"/>
    </row>
    <row r="478">
      <c r="O478" s="8"/>
    </row>
    <row r="479">
      <c r="O479" s="8"/>
    </row>
    <row r="480">
      <c r="O480" s="8"/>
    </row>
    <row r="481">
      <c r="O481" s="8"/>
    </row>
    <row r="482">
      <c r="O482" s="8"/>
    </row>
    <row r="483">
      <c r="O483" s="8"/>
    </row>
    <row r="484">
      <c r="O484" s="8"/>
    </row>
    <row r="485">
      <c r="O485" s="8"/>
    </row>
    <row r="486">
      <c r="O486" s="8"/>
    </row>
    <row r="487">
      <c r="O487" s="8"/>
    </row>
    <row r="488">
      <c r="O488" s="8"/>
    </row>
    <row r="489">
      <c r="O489" s="8"/>
    </row>
    <row r="490">
      <c r="O490" s="8"/>
    </row>
    <row r="491">
      <c r="O491" s="8"/>
    </row>
    <row r="492">
      <c r="O492" s="8"/>
    </row>
    <row r="493">
      <c r="O493" s="8"/>
    </row>
    <row r="494">
      <c r="O494" s="8"/>
    </row>
    <row r="495">
      <c r="O495" s="8"/>
    </row>
    <row r="496">
      <c r="O496" s="8"/>
    </row>
    <row r="497">
      <c r="O497" s="8"/>
    </row>
    <row r="498">
      <c r="O498" s="8"/>
    </row>
    <row r="499">
      <c r="O499" s="8"/>
    </row>
    <row r="500">
      <c r="O500" s="8"/>
    </row>
    <row r="501">
      <c r="O501" s="8"/>
    </row>
    <row r="502">
      <c r="O502" s="8"/>
    </row>
    <row r="503">
      <c r="O503" s="8"/>
    </row>
    <row r="504">
      <c r="O504" s="8"/>
    </row>
    <row r="505">
      <c r="O505" s="8"/>
    </row>
    <row r="506">
      <c r="O506" s="8"/>
    </row>
    <row r="507">
      <c r="O507" s="8"/>
    </row>
    <row r="508">
      <c r="O508" s="8"/>
    </row>
    <row r="509">
      <c r="O509" s="8"/>
    </row>
    <row r="510">
      <c r="O510" s="8"/>
    </row>
    <row r="511">
      <c r="O511" s="8"/>
    </row>
    <row r="512">
      <c r="O512" s="8"/>
    </row>
    <row r="513">
      <c r="O513" s="8"/>
    </row>
    <row r="514">
      <c r="O514" s="8"/>
    </row>
    <row r="515">
      <c r="O515" s="8"/>
    </row>
    <row r="516">
      <c r="O516" s="8"/>
    </row>
    <row r="517">
      <c r="O517" s="8"/>
    </row>
    <row r="518">
      <c r="O518" s="8"/>
    </row>
    <row r="519">
      <c r="O519" s="8"/>
    </row>
    <row r="520">
      <c r="O520" s="8"/>
    </row>
    <row r="521">
      <c r="O521" s="8"/>
    </row>
    <row r="522">
      <c r="O522" s="8"/>
    </row>
    <row r="523">
      <c r="O523" s="8"/>
    </row>
    <row r="524">
      <c r="O524" s="8"/>
    </row>
    <row r="525">
      <c r="O525" s="8"/>
    </row>
    <row r="526">
      <c r="O526" s="8"/>
    </row>
    <row r="527">
      <c r="O527" s="8"/>
    </row>
    <row r="528">
      <c r="O528" s="8"/>
    </row>
    <row r="529">
      <c r="O529" s="8"/>
    </row>
    <row r="530">
      <c r="O530" s="8"/>
    </row>
    <row r="531">
      <c r="O531" s="8"/>
    </row>
    <row r="532">
      <c r="O532" s="8"/>
    </row>
    <row r="533">
      <c r="O533" s="8"/>
    </row>
    <row r="534">
      <c r="O534" s="8"/>
    </row>
    <row r="535">
      <c r="O535" s="8"/>
    </row>
    <row r="536">
      <c r="O536" s="8"/>
    </row>
    <row r="537">
      <c r="O537" s="8"/>
    </row>
    <row r="538">
      <c r="O538" s="8"/>
    </row>
    <row r="539">
      <c r="O539" s="8"/>
    </row>
    <row r="540">
      <c r="O540" s="8"/>
    </row>
    <row r="541">
      <c r="O541" s="8"/>
    </row>
    <row r="542">
      <c r="O542" s="8"/>
    </row>
    <row r="543">
      <c r="O543" s="8"/>
    </row>
    <row r="544">
      <c r="O544" s="8"/>
    </row>
    <row r="545">
      <c r="O545" s="8"/>
    </row>
    <row r="546">
      <c r="O546" s="8"/>
    </row>
    <row r="547">
      <c r="O547" s="8"/>
    </row>
    <row r="548">
      <c r="O548" s="8"/>
    </row>
    <row r="549">
      <c r="O549" s="8"/>
    </row>
    <row r="550">
      <c r="O550" s="8"/>
    </row>
    <row r="551">
      <c r="O551" s="8"/>
    </row>
    <row r="552">
      <c r="O552" s="8"/>
    </row>
    <row r="553">
      <c r="O553" s="8"/>
    </row>
    <row r="554">
      <c r="O554" s="8"/>
    </row>
    <row r="555">
      <c r="O555" s="8"/>
    </row>
    <row r="556">
      <c r="O556" s="8"/>
    </row>
    <row r="557">
      <c r="O557" s="8"/>
    </row>
    <row r="558">
      <c r="O558" s="8"/>
    </row>
    <row r="559">
      <c r="O559" s="8"/>
    </row>
    <row r="560">
      <c r="O560" s="8"/>
    </row>
    <row r="561">
      <c r="O561" s="8"/>
    </row>
    <row r="562">
      <c r="O562" s="8"/>
    </row>
    <row r="563">
      <c r="O563" s="8"/>
    </row>
    <row r="564">
      <c r="O564" s="8"/>
    </row>
    <row r="565">
      <c r="O565" s="8"/>
    </row>
    <row r="566">
      <c r="O566" s="8"/>
    </row>
    <row r="567">
      <c r="O567" s="8"/>
    </row>
    <row r="568">
      <c r="O568" s="8"/>
    </row>
    <row r="569">
      <c r="O569" s="8"/>
    </row>
    <row r="570">
      <c r="O570" s="8"/>
    </row>
    <row r="571">
      <c r="O571" s="8"/>
    </row>
    <row r="572">
      <c r="O572" s="8"/>
    </row>
    <row r="573">
      <c r="O573" s="8"/>
    </row>
    <row r="574">
      <c r="O574" s="8"/>
    </row>
    <row r="575">
      <c r="O575" s="8"/>
    </row>
    <row r="576">
      <c r="O576" s="8"/>
    </row>
    <row r="577">
      <c r="O577" s="8"/>
    </row>
    <row r="578">
      <c r="O578" s="8"/>
    </row>
    <row r="579">
      <c r="O579" s="8"/>
    </row>
    <row r="580">
      <c r="O580" s="8"/>
    </row>
    <row r="581">
      <c r="O581" s="8"/>
    </row>
    <row r="582">
      <c r="O582" s="8"/>
    </row>
    <row r="583">
      <c r="O583" s="8"/>
    </row>
    <row r="584">
      <c r="O584" s="8"/>
    </row>
    <row r="585">
      <c r="O585" s="8"/>
    </row>
    <row r="586">
      <c r="O586" s="8"/>
    </row>
    <row r="587">
      <c r="O587" s="8"/>
    </row>
    <row r="588">
      <c r="O588" s="8"/>
    </row>
    <row r="589">
      <c r="O589" s="8"/>
    </row>
    <row r="590">
      <c r="O590" s="8"/>
    </row>
    <row r="591">
      <c r="O591" s="8"/>
    </row>
    <row r="592">
      <c r="O592" s="8"/>
    </row>
    <row r="593">
      <c r="O593" s="8"/>
    </row>
    <row r="594">
      <c r="O594" s="8"/>
    </row>
    <row r="595">
      <c r="O595" s="8"/>
    </row>
    <row r="596">
      <c r="O596" s="8"/>
    </row>
    <row r="597">
      <c r="O597" s="8"/>
    </row>
    <row r="598">
      <c r="O598" s="8"/>
    </row>
    <row r="599">
      <c r="O599" s="8"/>
    </row>
    <row r="600">
      <c r="O600" s="8"/>
    </row>
    <row r="601">
      <c r="O601" s="8"/>
    </row>
    <row r="602">
      <c r="O602" s="8"/>
    </row>
    <row r="603">
      <c r="O603" s="8"/>
    </row>
    <row r="604">
      <c r="O604" s="8"/>
    </row>
    <row r="605">
      <c r="O605" s="8"/>
    </row>
    <row r="606">
      <c r="O606" s="8"/>
    </row>
    <row r="607">
      <c r="O607" s="8"/>
    </row>
    <row r="608">
      <c r="O608" s="8"/>
    </row>
    <row r="609">
      <c r="O609" s="8"/>
    </row>
    <row r="610">
      <c r="O610" s="8"/>
    </row>
    <row r="611">
      <c r="O611" s="8"/>
    </row>
    <row r="612">
      <c r="O612" s="8"/>
    </row>
    <row r="613">
      <c r="O613" s="8"/>
    </row>
    <row r="614">
      <c r="O614" s="8"/>
    </row>
    <row r="615">
      <c r="O615" s="8"/>
    </row>
    <row r="616">
      <c r="O616" s="8"/>
    </row>
    <row r="617">
      <c r="O617" s="8"/>
    </row>
    <row r="618">
      <c r="O618" s="8"/>
    </row>
    <row r="619">
      <c r="O619" s="8"/>
    </row>
    <row r="620">
      <c r="O620" s="8"/>
    </row>
    <row r="621">
      <c r="O621" s="8"/>
    </row>
    <row r="622">
      <c r="O622" s="8"/>
    </row>
    <row r="623">
      <c r="O623" s="8"/>
    </row>
    <row r="624">
      <c r="O624" s="8"/>
    </row>
    <row r="625">
      <c r="O625" s="8"/>
    </row>
    <row r="626">
      <c r="O626" s="8"/>
    </row>
    <row r="627">
      <c r="O627" s="8"/>
    </row>
    <row r="628">
      <c r="O628" s="8"/>
    </row>
    <row r="629">
      <c r="O629" s="8"/>
    </row>
    <row r="630">
      <c r="O630" s="8"/>
    </row>
    <row r="631">
      <c r="O631" s="8"/>
    </row>
    <row r="632">
      <c r="O632" s="8"/>
    </row>
    <row r="633">
      <c r="O633" s="8"/>
    </row>
    <row r="634">
      <c r="O634" s="8"/>
    </row>
    <row r="635">
      <c r="O635" s="8"/>
    </row>
    <row r="636">
      <c r="O636" s="8"/>
    </row>
    <row r="637">
      <c r="O637" s="8"/>
    </row>
    <row r="638">
      <c r="O638" s="8"/>
    </row>
    <row r="639">
      <c r="O639" s="8"/>
    </row>
    <row r="640">
      <c r="O640" s="8"/>
    </row>
    <row r="641">
      <c r="O641" s="8"/>
    </row>
    <row r="642">
      <c r="O642" s="8"/>
    </row>
    <row r="643">
      <c r="O643" s="8"/>
    </row>
    <row r="644">
      <c r="O644" s="8"/>
    </row>
    <row r="645">
      <c r="O645" s="8"/>
    </row>
    <row r="646">
      <c r="O646" s="8"/>
    </row>
    <row r="647">
      <c r="O647" s="8"/>
    </row>
    <row r="648">
      <c r="O648" s="8"/>
    </row>
    <row r="649">
      <c r="O649" s="8"/>
    </row>
    <row r="650">
      <c r="O650" s="8"/>
    </row>
    <row r="651">
      <c r="O651" s="8"/>
    </row>
    <row r="652">
      <c r="O652" s="8"/>
    </row>
    <row r="653">
      <c r="O653" s="8"/>
    </row>
    <row r="654">
      <c r="O654" s="8"/>
    </row>
    <row r="655">
      <c r="O655" s="8"/>
    </row>
    <row r="656">
      <c r="O656" s="8"/>
    </row>
    <row r="657">
      <c r="O657" s="8"/>
    </row>
    <row r="658">
      <c r="O658" s="8"/>
    </row>
    <row r="659">
      <c r="O659" s="8"/>
    </row>
    <row r="660">
      <c r="O660" s="8"/>
    </row>
    <row r="661">
      <c r="O661" s="8"/>
    </row>
    <row r="662">
      <c r="O662" s="8"/>
    </row>
    <row r="663">
      <c r="O663" s="8"/>
    </row>
    <row r="664">
      <c r="O664" s="8"/>
    </row>
    <row r="665">
      <c r="O665" s="8"/>
    </row>
    <row r="666">
      <c r="O666" s="8"/>
    </row>
    <row r="667">
      <c r="O667" s="8"/>
    </row>
    <row r="668">
      <c r="O668" s="8"/>
    </row>
    <row r="669">
      <c r="O669" s="8"/>
    </row>
    <row r="670">
      <c r="O670" s="8"/>
    </row>
    <row r="671">
      <c r="O671" s="8"/>
    </row>
    <row r="672">
      <c r="O672" s="8"/>
    </row>
    <row r="673">
      <c r="O673" s="8"/>
    </row>
    <row r="674">
      <c r="O674" s="8"/>
    </row>
    <row r="675">
      <c r="O675" s="8"/>
    </row>
    <row r="676">
      <c r="O676" s="8"/>
    </row>
    <row r="677">
      <c r="O677" s="8"/>
    </row>
    <row r="678">
      <c r="O678" s="8"/>
    </row>
    <row r="679">
      <c r="O679" s="8"/>
    </row>
    <row r="680">
      <c r="O680" s="8"/>
    </row>
    <row r="681">
      <c r="O681" s="8"/>
    </row>
    <row r="682">
      <c r="O682" s="8"/>
    </row>
    <row r="683">
      <c r="O683" s="8"/>
    </row>
    <row r="684">
      <c r="O684" s="8"/>
    </row>
    <row r="685">
      <c r="O685" s="8"/>
    </row>
    <row r="686">
      <c r="O686" s="8"/>
    </row>
    <row r="687">
      <c r="O687" s="8"/>
    </row>
    <row r="688">
      <c r="O688" s="8"/>
    </row>
    <row r="689">
      <c r="O689" s="8"/>
    </row>
    <row r="690">
      <c r="O690" s="8"/>
    </row>
    <row r="691">
      <c r="O691" s="8"/>
    </row>
    <row r="692">
      <c r="O692" s="8"/>
    </row>
    <row r="693">
      <c r="O693" s="8"/>
    </row>
    <row r="694">
      <c r="O694" s="8"/>
    </row>
    <row r="695">
      <c r="O695" s="8"/>
    </row>
    <row r="696">
      <c r="O696" s="8"/>
    </row>
    <row r="697">
      <c r="O697" s="8"/>
    </row>
    <row r="698">
      <c r="O698" s="8"/>
    </row>
    <row r="699">
      <c r="O699" s="8"/>
    </row>
    <row r="700">
      <c r="O700" s="8"/>
    </row>
    <row r="701">
      <c r="O701" s="8"/>
    </row>
    <row r="702">
      <c r="O702" s="8"/>
    </row>
    <row r="703">
      <c r="O703" s="8"/>
    </row>
    <row r="704">
      <c r="O704" s="8"/>
    </row>
    <row r="705">
      <c r="O705" s="8"/>
    </row>
    <row r="706">
      <c r="O706" s="8"/>
    </row>
    <row r="707">
      <c r="O707" s="8"/>
    </row>
    <row r="708">
      <c r="O708" s="8"/>
    </row>
    <row r="709">
      <c r="O709" s="8"/>
    </row>
    <row r="710">
      <c r="O710" s="8"/>
    </row>
    <row r="711">
      <c r="O711" s="8"/>
    </row>
    <row r="712">
      <c r="O712" s="8"/>
    </row>
    <row r="713">
      <c r="O713" s="8"/>
    </row>
    <row r="714">
      <c r="O714" s="8"/>
    </row>
    <row r="715">
      <c r="O715" s="8"/>
    </row>
    <row r="716">
      <c r="O716" s="8"/>
    </row>
    <row r="717">
      <c r="O717" s="8"/>
    </row>
    <row r="718">
      <c r="O718" s="8"/>
    </row>
    <row r="719">
      <c r="O719" s="8"/>
    </row>
    <row r="720">
      <c r="O720" s="8"/>
    </row>
    <row r="721">
      <c r="O721" s="8"/>
    </row>
    <row r="722">
      <c r="O722" s="8"/>
    </row>
    <row r="723">
      <c r="O723" s="8"/>
    </row>
    <row r="724">
      <c r="O724" s="8"/>
    </row>
    <row r="725">
      <c r="O725" s="8"/>
    </row>
    <row r="726">
      <c r="O726" s="8"/>
    </row>
    <row r="727">
      <c r="O727" s="8"/>
    </row>
    <row r="728">
      <c r="O728" s="8"/>
    </row>
    <row r="729">
      <c r="O729" s="8"/>
    </row>
    <row r="730">
      <c r="O730" s="8"/>
    </row>
    <row r="731">
      <c r="O731" s="8"/>
    </row>
    <row r="732">
      <c r="O732" s="8"/>
    </row>
    <row r="733">
      <c r="O733" s="8"/>
    </row>
    <row r="734">
      <c r="O734" s="8"/>
    </row>
    <row r="735">
      <c r="O735" s="8"/>
    </row>
    <row r="736">
      <c r="O736" s="8"/>
    </row>
    <row r="737">
      <c r="O737" s="8"/>
    </row>
    <row r="738">
      <c r="O738" s="8"/>
    </row>
    <row r="739">
      <c r="O739" s="8"/>
    </row>
    <row r="740">
      <c r="O740" s="8"/>
    </row>
    <row r="741">
      <c r="O741" s="8"/>
    </row>
    <row r="742">
      <c r="O742" s="8"/>
    </row>
    <row r="743">
      <c r="O743" s="8"/>
    </row>
    <row r="744">
      <c r="O744" s="8"/>
    </row>
    <row r="745">
      <c r="O745" s="8"/>
    </row>
    <row r="746">
      <c r="O746" s="8"/>
    </row>
    <row r="747">
      <c r="O747" s="8"/>
    </row>
    <row r="748">
      <c r="O748" s="8"/>
    </row>
    <row r="749">
      <c r="O749" s="8"/>
    </row>
    <row r="750">
      <c r="O750" s="8"/>
    </row>
    <row r="751">
      <c r="O751" s="8"/>
    </row>
    <row r="752">
      <c r="O752" s="8"/>
    </row>
    <row r="753">
      <c r="O753" s="8"/>
    </row>
    <row r="754">
      <c r="O754" s="8"/>
    </row>
    <row r="755">
      <c r="O755" s="8"/>
    </row>
    <row r="756">
      <c r="O756" s="8"/>
    </row>
    <row r="757">
      <c r="O757" s="8"/>
    </row>
    <row r="758">
      <c r="O758" s="8"/>
    </row>
    <row r="759">
      <c r="O759" s="8"/>
    </row>
    <row r="760">
      <c r="O760" s="8"/>
    </row>
    <row r="761">
      <c r="O761" s="8"/>
    </row>
    <row r="762">
      <c r="O762" s="8"/>
    </row>
    <row r="763">
      <c r="O763" s="8"/>
    </row>
    <row r="764">
      <c r="O764" s="8"/>
    </row>
    <row r="765">
      <c r="O765" s="8"/>
    </row>
    <row r="766">
      <c r="O766" s="8"/>
    </row>
    <row r="767">
      <c r="O767" s="8"/>
    </row>
    <row r="768">
      <c r="O768" s="8"/>
    </row>
    <row r="769">
      <c r="O769" s="8"/>
    </row>
    <row r="770">
      <c r="O770" s="8"/>
    </row>
    <row r="771">
      <c r="O771" s="8"/>
    </row>
    <row r="772">
      <c r="O772" s="8"/>
    </row>
    <row r="773">
      <c r="O773" s="8"/>
    </row>
    <row r="774">
      <c r="O774" s="8"/>
    </row>
    <row r="775">
      <c r="O775" s="8"/>
    </row>
    <row r="776">
      <c r="O776" s="8"/>
    </row>
    <row r="777">
      <c r="O777" s="8"/>
    </row>
    <row r="778">
      <c r="O778" s="8"/>
    </row>
    <row r="779">
      <c r="O779" s="8"/>
    </row>
    <row r="780">
      <c r="O780" s="8"/>
    </row>
    <row r="781">
      <c r="O781" s="8"/>
    </row>
    <row r="782">
      <c r="O782" s="8"/>
    </row>
    <row r="783">
      <c r="O783" s="8"/>
    </row>
    <row r="784">
      <c r="O784" s="8"/>
    </row>
    <row r="785">
      <c r="O785" s="8"/>
    </row>
    <row r="786">
      <c r="O786" s="8"/>
    </row>
    <row r="787">
      <c r="O787" s="8"/>
    </row>
    <row r="788">
      <c r="O788" s="8"/>
    </row>
    <row r="789">
      <c r="O789" s="8"/>
    </row>
    <row r="790">
      <c r="O790" s="8"/>
    </row>
    <row r="791">
      <c r="O791" s="8"/>
    </row>
    <row r="792">
      <c r="O792" s="8"/>
    </row>
    <row r="793">
      <c r="O793" s="8"/>
    </row>
    <row r="794">
      <c r="O794" s="8"/>
    </row>
    <row r="795">
      <c r="O795" s="8"/>
    </row>
    <row r="796">
      <c r="O796" s="8"/>
    </row>
    <row r="797">
      <c r="O797" s="8"/>
    </row>
    <row r="798">
      <c r="O798" s="8"/>
    </row>
  </sheetData>
  <mergeCells count="21">
    <mergeCell ref="O13:O17"/>
    <mergeCell ref="O18:O22"/>
    <mergeCell ref="O23:O27"/>
    <mergeCell ref="O28:O32"/>
    <mergeCell ref="O33:O37"/>
    <mergeCell ref="O38:O42"/>
    <mergeCell ref="O43:O47"/>
    <mergeCell ref="O83:O87"/>
    <mergeCell ref="O88:O92"/>
    <mergeCell ref="O93:O97"/>
    <mergeCell ref="O98:O102"/>
    <mergeCell ref="O103:O107"/>
    <mergeCell ref="O108:O112"/>
    <mergeCell ref="O113:O117"/>
    <mergeCell ref="O48:O52"/>
    <mergeCell ref="O53:O57"/>
    <mergeCell ref="O58:O62"/>
    <mergeCell ref="O63:O67"/>
    <mergeCell ref="O68:O72"/>
    <mergeCell ref="O73:O77"/>
    <mergeCell ref="O78:O8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